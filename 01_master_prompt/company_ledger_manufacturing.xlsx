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دفتر الأستاذ العام" sheetId="1" state="visible" r:id="rId1"/>
    <sheet xmlns:r="http://schemas.openxmlformats.org/officeDocument/2006/relationships" name="قائمة الدخل" sheetId="2" state="visible" r:id="rId2"/>
    <sheet xmlns:r="http://schemas.openxmlformats.org/officeDocument/2006/relationships" name="الميزانية العمومية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164" fontId="5" fillId="0" borderId="1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right" vertical="bottom"/>
    </xf>
    <xf numFmtId="164" fontId="8" fillId="5" borderId="1" applyAlignment="1" pivotButton="0" quotePrefix="0" xfId="0">
      <alignment horizontal="general" vertical="bottom"/>
    </xf>
    <xf numFmtId="164" fontId="7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bottom"/>
    </xf>
    <xf numFmtId="164" fontId="8" fillId="0" borderId="1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164" fontId="5" fillId="0" borderId="1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right" vertical="bottom"/>
    </xf>
    <xf numFmtId="164" fontId="8" fillId="5" borderId="1" applyAlignment="1" pivotButton="0" quotePrefix="0" xfId="0">
      <alignment horizontal="general" vertical="bottom"/>
    </xf>
    <xf numFmtId="164" fontId="7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bottom"/>
    </xf>
    <xf numFmtId="164" fontId="8" fillId="0" borderId="1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8" customWidth="1" style="23" min="2" max="2"/>
    <col width="30" customWidth="1" style="23" min="3" max="3"/>
    <col width="26" customWidth="1" style="23" min="4" max="4"/>
    <col width="13" customWidth="1" style="23" min="5" max="6"/>
  </cols>
  <sheetData>
    <row r="1" ht="15" customHeight="1" s="24">
      <c r="A1" s="25" t="inlineStr">
        <is>
          <t>التاريخ</t>
        </is>
      </c>
      <c r="B1" s="25" t="inlineStr">
        <is>
          <t>الشهر</t>
        </is>
      </c>
      <c r="C1" s="25" t="inlineStr">
        <is>
          <t>البيان</t>
        </is>
      </c>
      <c r="D1" s="25" t="inlineStr">
        <is>
          <t>الفئة</t>
        </is>
      </c>
      <c r="E1" s="25" t="inlineStr">
        <is>
          <t>مدين</t>
        </is>
      </c>
      <c r="F1" s="25" t="inlineStr">
        <is>
          <t>دائن</t>
        </is>
      </c>
      <c r="H1" t="inlineStr">
        <is>
          <t>ملاحظة: هذا الشيت بالكامل (312 قيدًا) مولَّد بالذكاء الاصطناعي (Claude) لأغراض اختبار برومبت تحليل مالي — ليس بيانات شركة حقيقية.</t>
        </is>
      </c>
    </row>
    <row r="2" ht="15" customHeight="1" s="24">
      <c r="A2" s="26" t="inlineStr">
        <is>
          <t>2026-01-10</t>
        </is>
      </c>
      <c r="B2" s="26" t="n">
        <v>1</v>
      </c>
      <c r="C2" s="26" t="inlineStr">
        <is>
          <t>مبيعات منتجات - فرع رئيسي</t>
        </is>
      </c>
      <c r="D2" s="26" t="inlineStr">
        <is>
          <t>مبيعات منتجات</t>
        </is>
      </c>
      <c r="E2" s="27" t="n"/>
      <c r="F2" s="27" t="n">
        <v>314960</v>
      </c>
    </row>
    <row r="3" ht="15" customHeight="1" s="24">
      <c r="A3" s="26" t="inlineStr">
        <is>
          <t>2026-01-25</t>
        </is>
      </c>
      <c r="B3" s="26" t="n">
        <v>1</v>
      </c>
      <c r="C3" s="26" t="inlineStr">
        <is>
          <t>مبيعات منتجات - فرع فرعي</t>
        </is>
      </c>
      <c r="D3" s="26" t="inlineStr">
        <is>
          <t>مبيعات منتجات</t>
        </is>
      </c>
      <c r="E3" s="27" t="n"/>
      <c r="F3" s="27" t="n">
        <v>193040</v>
      </c>
    </row>
    <row r="4" ht="15" customHeight="1" s="24">
      <c r="A4" s="26" t="inlineStr">
        <is>
          <t>2026-01-10</t>
        </is>
      </c>
      <c r="B4" s="26" t="n">
        <v>1</v>
      </c>
      <c r="C4" s="26" t="inlineStr">
        <is>
          <t>إيرادات خدمات - فرع رئيسي</t>
        </is>
      </c>
      <c r="D4" s="26" t="inlineStr">
        <is>
          <t>إيرادات خدمات</t>
        </is>
      </c>
      <c r="E4" s="27" t="n"/>
      <c r="F4" s="27" t="n">
        <v>81840</v>
      </c>
    </row>
    <row r="5" ht="15" customHeight="1" s="24">
      <c r="A5" s="26" t="inlineStr">
        <is>
          <t>2026-01-25</t>
        </is>
      </c>
      <c r="B5" s="26" t="n">
        <v>1</v>
      </c>
      <c r="C5" s="26" t="inlineStr">
        <is>
          <t>إيرادات خدمات - فرع فرعي</t>
        </is>
      </c>
      <c r="D5" s="26" t="inlineStr">
        <is>
          <t>إيرادات خدمات</t>
        </is>
      </c>
      <c r="E5" s="27" t="n"/>
      <c r="F5" s="27" t="n">
        <v>50160</v>
      </c>
    </row>
    <row r="6" ht="15" customHeight="1" s="24">
      <c r="A6" s="26" t="inlineStr">
        <is>
          <t>2026-01-10</t>
        </is>
      </c>
      <c r="B6" s="26" t="n">
        <v>1</v>
      </c>
      <c r="C6" s="26" t="inlineStr">
        <is>
          <t>إيرادات أخرى - فرع رئيسي</t>
        </is>
      </c>
      <c r="D6" s="26" t="inlineStr">
        <is>
          <t>إيرادات أخرى</t>
        </is>
      </c>
      <c r="E6" s="27" t="n"/>
      <c r="F6" s="27" t="n">
        <v>3224</v>
      </c>
    </row>
    <row r="7" ht="15" customHeight="1" s="24">
      <c r="A7" s="26" t="inlineStr">
        <is>
          <t>2026-01-25</t>
        </is>
      </c>
      <c r="B7" s="26" t="n">
        <v>1</v>
      </c>
      <c r="C7" s="26" t="inlineStr">
        <is>
          <t>إيرادات أخرى - فرع فرعي</t>
        </is>
      </c>
      <c r="D7" s="26" t="inlineStr">
        <is>
          <t>إيرادات أخرى</t>
        </is>
      </c>
      <c r="E7" s="27" t="n"/>
      <c r="F7" s="27" t="n">
        <v>1976</v>
      </c>
    </row>
    <row r="8" ht="15" customHeight="1" s="24">
      <c r="A8" s="26" t="inlineStr">
        <is>
          <t>2026-01-10</t>
        </is>
      </c>
      <c r="B8" s="26" t="n">
        <v>1</v>
      </c>
      <c r="C8" s="26" t="inlineStr">
        <is>
          <t>مواد خام مباشرة - دفعة أولى</t>
        </is>
      </c>
      <c r="D8" s="26" t="inlineStr">
        <is>
          <t>مواد خام مباشرة</t>
        </is>
      </c>
      <c r="E8" s="27" t="n">
        <v>110236</v>
      </c>
      <c r="F8" s="27" t="n"/>
    </row>
    <row r="9" ht="15" customHeight="1" s="24">
      <c r="A9" s="26" t="inlineStr">
        <is>
          <t>2026-01-25</t>
        </is>
      </c>
      <c r="B9" s="26" t="n">
        <v>1</v>
      </c>
      <c r="C9" s="26" t="inlineStr">
        <is>
          <t>مواد خام مباشرة - دفعة ثانية</t>
        </is>
      </c>
      <c r="D9" s="26" t="inlineStr">
        <is>
          <t>مواد خام مباشرة</t>
        </is>
      </c>
      <c r="E9" s="27" t="n">
        <v>67564</v>
      </c>
      <c r="F9" s="27" t="n"/>
    </row>
    <row r="10" ht="15" customHeight="1" s="24">
      <c r="A10" s="26" t="inlineStr">
        <is>
          <t>2026-01-10</t>
        </is>
      </c>
      <c r="B10" s="26" t="n">
        <v>1</v>
      </c>
      <c r="C10" s="26" t="inlineStr">
        <is>
          <t>أجور مباشرة - دفعة أولى</t>
        </is>
      </c>
      <c r="D10" s="26" t="inlineStr">
        <is>
          <t>أجور مباشرة</t>
        </is>
      </c>
      <c r="E10" s="27" t="n">
        <v>47244</v>
      </c>
      <c r="F10" s="27" t="n"/>
    </row>
    <row r="11" ht="15" customHeight="1" s="24">
      <c r="A11" s="26" t="inlineStr">
        <is>
          <t>2026-01-25</t>
        </is>
      </c>
      <c r="B11" s="26" t="n">
        <v>1</v>
      </c>
      <c r="C11" s="26" t="inlineStr">
        <is>
          <t>أجور مباشرة - دفعة ثانية</t>
        </is>
      </c>
      <c r="D11" s="26" t="inlineStr">
        <is>
          <t>أجور مباشرة</t>
        </is>
      </c>
      <c r="E11" s="27" t="n">
        <v>28956</v>
      </c>
      <c r="F11" s="27" t="n"/>
    </row>
    <row r="12" ht="15" customHeight="1" s="24">
      <c r="A12" s="26" t="inlineStr">
        <is>
          <t>2026-01-10</t>
        </is>
      </c>
      <c r="B12" s="26" t="n">
        <v>1</v>
      </c>
      <c r="C12" s="26" t="inlineStr">
        <is>
          <t>تكاليف صناعية غير مباشرة - دفعة أولى</t>
        </is>
      </c>
      <c r="D12" s="26" t="inlineStr">
        <is>
          <t>تكاليف صناعية غير مباشرة</t>
        </is>
      </c>
      <c r="E12" s="27" t="n">
        <v>31496</v>
      </c>
      <c r="F12" s="27" t="n"/>
    </row>
    <row r="13" ht="15" customHeight="1" s="24">
      <c r="A13" s="26" t="inlineStr">
        <is>
          <t>2026-01-25</t>
        </is>
      </c>
      <c r="B13" s="26" t="n">
        <v>1</v>
      </c>
      <c r="C13" s="26" t="inlineStr">
        <is>
          <t>تكاليف صناعية غير مباشرة - دفعة ثانية</t>
        </is>
      </c>
      <c r="D13" s="26" t="inlineStr">
        <is>
          <t>تكاليف صناعية غير مباشرة</t>
        </is>
      </c>
      <c r="E13" s="27" t="n">
        <v>19304</v>
      </c>
      <c r="F13" s="27" t="n"/>
    </row>
    <row r="14" ht="15" customHeight="1" s="24">
      <c r="A14" s="26" t="inlineStr">
        <is>
          <t>2026-01-10</t>
        </is>
      </c>
      <c r="B14" s="26" t="n">
        <v>1</v>
      </c>
      <c r="C14" s="26" t="inlineStr">
        <is>
          <t>رواتب وأجور إدارية - دفعة أولى</t>
        </is>
      </c>
      <c r="D14" s="26" t="inlineStr">
        <is>
          <t>رواتب وأجور إدارية</t>
        </is>
      </c>
      <c r="E14" s="27" t="n">
        <v>56420</v>
      </c>
      <c r="F14" s="27" t="n"/>
    </row>
    <row r="15" ht="15" customHeight="1" s="24">
      <c r="A15" s="26" t="inlineStr">
        <is>
          <t>2026-01-25</t>
        </is>
      </c>
      <c r="B15" s="26" t="n">
        <v>1</v>
      </c>
      <c r="C15" s="26" t="inlineStr">
        <is>
          <t>رواتب وأجور إدارية - دفعة ثانية</t>
        </is>
      </c>
      <c r="D15" s="26" t="inlineStr">
        <is>
          <t>رواتب وأجور إدارية</t>
        </is>
      </c>
      <c r="E15" s="27" t="n">
        <v>34580</v>
      </c>
      <c r="F15" s="27" t="n"/>
    </row>
    <row r="16" ht="15" customHeight="1" s="24">
      <c r="A16" s="26" t="inlineStr">
        <is>
          <t>2026-01-01</t>
        </is>
      </c>
      <c r="B16" s="26" t="n">
        <v>1</v>
      </c>
      <c r="C16" s="26" t="inlineStr">
        <is>
          <t>قيد إيجار الشهري</t>
        </is>
      </c>
      <c r="D16" s="26" t="inlineStr">
        <is>
          <t>إيجار</t>
        </is>
      </c>
      <c r="E16" s="27" t="n">
        <v>30000</v>
      </c>
      <c r="F16" s="27" t="n"/>
    </row>
    <row r="17" ht="15" customHeight="1" s="24">
      <c r="A17" s="26" t="inlineStr">
        <is>
          <t>2026-01-10</t>
        </is>
      </c>
      <c r="B17" s="26" t="n">
        <v>1</v>
      </c>
      <c r="C17" s="26" t="inlineStr">
        <is>
          <t>تسويق وإعلان - دفعة أولى</t>
        </is>
      </c>
      <c r="D17" s="26" t="inlineStr">
        <is>
          <t>تسويق وإعلان</t>
        </is>
      </c>
      <c r="E17" s="27" t="n">
        <v>9610</v>
      </c>
      <c r="F17" s="27" t="n"/>
    </row>
    <row r="18" ht="15" customHeight="1" s="24">
      <c r="A18" s="26" t="inlineStr">
        <is>
          <t>2026-01-25</t>
        </is>
      </c>
      <c r="B18" s="26" t="n">
        <v>1</v>
      </c>
      <c r="C18" s="26" t="inlineStr">
        <is>
          <t>تسويق وإعلان - دفعة ثانية</t>
        </is>
      </c>
      <c r="D18" s="26" t="inlineStr">
        <is>
          <t>تسويق وإعلان</t>
        </is>
      </c>
      <c r="E18" s="27" t="n">
        <v>5890</v>
      </c>
      <c r="F18" s="27" t="n"/>
    </row>
    <row r="19" ht="15" customHeight="1" s="24">
      <c r="A19" s="26" t="inlineStr">
        <is>
          <t>2026-01-10</t>
        </is>
      </c>
      <c r="B19" s="26" t="n">
        <v>1</v>
      </c>
      <c r="C19" s="26" t="inlineStr">
        <is>
          <t>مرافق (كهرباء/مياه) - دفعة أولى</t>
        </is>
      </c>
      <c r="D19" s="26" t="inlineStr">
        <is>
          <t>مرافق (كهرباء/مياه)</t>
        </is>
      </c>
      <c r="E19" s="27" t="n">
        <v>5022</v>
      </c>
      <c r="F19" s="27" t="n"/>
    </row>
    <row r="20" ht="15" customHeight="1" s="24">
      <c r="A20" s="26" t="inlineStr">
        <is>
          <t>2026-01-25</t>
        </is>
      </c>
      <c r="B20" s="26" t="n">
        <v>1</v>
      </c>
      <c r="C20" s="26" t="inlineStr">
        <is>
          <t>مرافق (كهرباء/مياه) - دفعة ثانية</t>
        </is>
      </c>
      <c r="D20" s="26" t="inlineStr">
        <is>
          <t>مرافق (كهرباء/مياه)</t>
        </is>
      </c>
      <c r="E20" s="27" t="n">
        <v>3078</v>
      </c>
      <c r="F20" s="27" t="n"/>
    </row>
    <row r="21" ht="15" customHeight="1" s="24">
      <c r="A21" s="26" t="inlineStr">
        <is>
          <t>2026-01-10</t>
        </is>
      </c>
      <c r="B21" s="26" t="n">
        <v>1</v>
      </c>
      <c r="C21" s="26" t="inlineStr">
        <is>
          <t>صيانة - دفعة أولى</t>
        </is>
      </c>
      <c r="D21" s="26" t="inlineStr">
        <is>
          <t>صيانة</t>
        </is>
      </c>
      <c r="E21" s="27" t="n">
        <v>3162</v>
      </c>
      <c r="F21" s="27" t="n"/>
    </row>
    <row r="22" ht="15" customHeight="1" s="24">
      <c r="A22" s="26" t="inlineStr">
        <is>
          <t>2026-01-25</t>
        </is>
      </c>
      <c r="B22" s="26" t="n">
        <v>1</v>
      </c>
      <c r="C22" s="26" t="inlineStr">
        <is>
          <t>صيانة - دفعة ثانية</t>
        </is>
      </c>
      <c r="D22" s="26" t="inlineStr">
        <is>
          <t>صيانة</t>
        </is>
      </c>
      <c r="E22" s="27" t="n">
        <v>1938</v>
      </c>
      <c r="F22" s="27" t="n"/>
    </row>
    <row r="23" ht="15" customHeight="1" s="24">
      <c r="A23" s="26" t="inlineStr">
        <is>
          <t>2026-01-01</t>
        </is>
      </c>
      <c r="B23" s="26" t="n">
        <v>1</v>
      </c>
      <c r="C23" s="26" t="inlineStr">
        <is>
          <t>قيد تأمين الشهري</t>
        </is>
      </c>
      <c r="D23" s="26" t="inlineStr">
        <is>
          <t>تأمين</t>
        </is>
      </c>
      <c r="E23" s="27" t="n">
        <v>6000</v>
      </c>
      <c r="F23" s="27" t="n"/>
    </row>
    <row r="24" ht="15" customHeight="1" s="24">
      <c r="A24" s="26" t="inlineStr">
        <is>
          <t>2026-01-05</t>
        </is>
      </c>
      <c r="B24" s="26" t="n">
        <v>1</v>
      </c>
      <c r="C24" s="26" t="inlineStr">
        <is>
          <t>أتعاب استشارات محاسبية</t>
        </is>
      </c>
      <c r="D24" s="26" t="inlineStr">
        <is>
          <t>أتعاب مهنية</t>
        </is>
      </c>
      <c r="E24" s="27" t="n">
        <v>4000</v>
      </c>
      <c r="F24" s="27" t="n"/>
    </row>
    <row r="25" ht="15" customHeight="1" s="24">
      <c r="A25" s="26" t="inlineStr">
        <is>
          <t>2026-01-01</t>
        </is>
      </c>
      <c r="B25" s="26" t="n">
        <v>1</v>
      </c>
      <c r="C25" s="26" t="inlineStr">
        <is>
          <t>قيد إهلاك الشهري</t>
        </is>
      </c>
      <c r="D25" s="26" t="inlineStr">
        <is>
          <t>إهلاك</t>
        </is>
      </c>
      <c r="E25" s="27" t="n">
        <v>12000</v>
      </c>
      <c r="F25" s="27" t="n"/>
    </row>
    <row r="26" ht="15" customHeight="1" s="24">
      <c r="A26" s="26" t="inlineStr">
        <is>
          <t>2026-01-10</t>
        </is>
      </c>
      <c r="B26" s="26" t="n">
        <v>1</v>
      </c>
      <c r="C26" s="26" t="inlineStr">
        <is>
          <t>مصروفات متنوعة / غير مصنَّف - دفعة أولى</t>
        </is>
      </c>
      <c r="D26" s="26" t="inlineStr">
        <is>
          <t>مصروفات متنوعة / غير مصنَّف</t>
        </is>
      </c>
      <c r="E26" s="27" t="n">
        <v>1891</v>
      </c>
      <c r="F26" s="27" t="n"/>
    </row>
    <row r="27" ht="15" customHeight="1" s="24">
      <c r="A27" s="26" t="inlineStr">
        <is>
          <t>2026-01-25</t>
        </is>
      </c>
      <c r="B27" s="26" t="n">
        <v>1</v>
      </c>
      <c r="C27" s="26" t="inlineStr">
        <is>
          <t>مصروفات متنوعة / غير مصنَّف - دفعة ثانية</t>
        </is>
      </c>
      <c r="D27" s="26" t="inlineStr">
        <is>
          <t>مصروفات متنوعة / غير مصنَّف</t>
        </is>
      </c>
      <c r="E27" s="27" t="n">
        <v>1159</v>
      </c>
      <c r="F27" s="27" t="n"/>
    </row>
    <row r="28" ht="15" customHeight="1" s="24">
      <c r="A28" s="26" t="inlineStr">
        <is>
          <t>2026-02-10</t>
        </is>
      </c>
      <c r="B28" s="26" t="n">
        <v>2</v>
      </c>
      <c r="C28" s="26" t="inlineStr">
        <is>
          <t>مبيعات منتجات - فرع رئيسي</t>
        </is>
      </c>
      <c r="D28" s="26" t="inlineStr">
        <is>
          <t>مبيعات منتجات</t>
        </is>
      </c>
      <c r="E28" s="27" t="n"/>
      <c r="F28" s="27" t="n">
        <v>319920</v>
      </c>
    </row>
    <row r="29" ht="15" customHeight="1" s="24">
      <c r="A29" s="26" t="inlineStr">
        <is>
          <t>2026-02-25</t>
        </is>
      </c>
      <c r="B29" s="26" t="n">
        <v>2</v>
      </c>
      <c r="C29" s="26" t="inlineStr">
        <is>
          <t>مبيعات منتجات - فرع فرعي</t>
        </is>
      </c>
      <c r="D29" s="26" t="inlineStr">
        <is>
          <t>مبيعات منتجات</t>
        </is>
      </c>
      <c r="E29" s="27" t="n"/>
      <c r="F29" s="27" t="n">
        <v>196080</v>
      </c>
    </row>
    <row r="30" ht="15" customHeight="1" s="24">
      <c r="A30" s="26" t="inlineStr">
        <is>
          <t>2026-02-10</t>
        </is>
      </c>
      <c r="B30" s="26" t="n">
        <v>2</v>
      </c>
      <c r="C30" s="26" t="inlineStr">
        <is>
          <t>إيرادات خدمات - فرع رئيسي</t>
        </is>
      </c>
      <c r="D30" s="26" t="inlineStr">
        <is>
          <t>إيرادات خدمات</t>
        </is>
      </c>
      <c r="E30" s="27" t="n"/>
      <c r="F30" s="27" t="n">
        <v>83080</v>
      </c>
    </row>
    <row r="31" ht="15" customHeight="1" s="24">
      <c r="A31" s="26" t="inlineStr">
        <is>
          <t>2026-02-25</t>
        </is>
      </c>
      <c r="B31" s="26" t="n">
        <v>2</v>
      </c>
      <c r="C31" s="26" t="inlineStr">
        <is>
          <t>إيرادات خدمات - فرع فرعي</t>
        </is>
      </c>
      <c r="D31" s="26" t="inlineStr">
        <is>
          <t>إيرادات خدمات</t>
        </is>
      </c>
      <c r="E31" s="27" t="n"/>
      <c r="F31" s="27" t="n">
        <v>50920</v>
      </c>
    </row>
    <row r="32" ht="15" customHeight="1" s="24">
      <c r="A32" s="26" t="inlineStr">
        <is>
          <t>2026-02-10</t>
        </is>
      </c>
      <c r="B32" s="26" t="n">
        <v>2</v>
      </c>
      <c r="C32" s="26" t="inlineStr">
        <is>
          <t>إيرادات أخرى - فرع رئيسي</t>
        </is>
      </c>
      <c r="D32" s="26" t="inlineStr">
        <is>
          <t>إيرادات أخرى</t>
        </is>
      </c>
      <c r="E32" s="27" t="n"/>
      <c r="F32" s="27" t="n">
        <v>3348</v>
      </c>
    </row>
    <row r="33" ht="15" customHeight="1" s="24">
      <c r="A33" s="26" t="inlineStr">
        <is>
          <t>2026-02-25</t>
        </is>
      </c>
      <c r="B33" s="26" t="n">
        <v>2</v>
      </c>
      <c r="C33" s="26" t="inlineStr">
        <is>
          <t>إيرادات أخرى - فرع فرعي</t>
        </is>
      </c>
      <c r="D33" s="26" t="inlineStr">
        <is>
          <t>إيرادات أخرى</t>
        </is>
      </c>
      <c r="E33" s="27" t="n"/>
      <c r="F33" s="27" t="n">
        <v>2052</v>
      </c>
    </row>
    <row r="34" ht="15" customHeight="1" s="24">
      <c r="A34" s="26" t="inlineStr">
        <is>
          <t>2026-02-10</t>
        </is>
      </c>
      <c r="B34" s="26" t="n">
        <v>2</v>
      </c>
      <c r="C34" s="26" t="inlineStr">
        <is>
          <t>مواد خام مباشرة - دفعة أولى</t>
        </is>
      </c>
      <c r="D34" s="26" t="inlineStr">
        <is>
          <t>مواد خام مباشرة</t>
        </is>
      </c>
      <c r="E34" s="27" t="n">
        <v>111972</v>
      </c>
      <c r="F34" s="27" t="n"/>
    </row>
    <row r="35" ht="15" customHeight="1" s="24">
      <c r="A35" s="26" t="inlineStr">
        <is>
          <t>2026-02-25</t>
        </is>
      </c>
      <c r="B35" s="26" t="n">
        <v>2</v>
      </c>
      <c r="C35" s="26" t="inlineStr">
        <is>
          <t>مواد خام مباشرة - دفعة ثانية</t>
        </is>
      </c>
      <c r="D35" s="26" t="inlineStr">
        <is>
          <t>مواد خام مباشرة</t>
        </is>
      </c>
      <c r="E35" s="27" t="n">
        <v>68628</v>
      </c>
      <c r="F35" s="27" t="n"/>
    </row>
    <row r="36" ht="15" customHeight="1" s="24">
      <c r="A36" s="26" t="inlineStr">
        <is>
          <t>2026-02-10</t>
        </is>
      </c>
      <c r="B36" s="26" t="n">
        <v>2</v>
      </c>
      <c r="C36" s="26" t="inlineStr">
        <is>
          <t>أجور مباشرة - دفعة أولى</t>
        </is>
      </c>
      <c r="D36" s="26" t="inlineStr">
        <is>
          <t>أجور مباشرة</t>
        </is>
      </c>
      <c r="E36" s="27" t="n">
        <v>47988</v>
      </c>
      <c r="F36" s="27" t="n"/>
    </row>
    <row r="37" ht="15" customHeight="1" s="24">
      <c r="A37" s="26" t="inlineStr">
        <is>
          <t>2026-02-25</t>
        </is>
      </c>
      <c r="B37" s="26" t="n">
        <v>2</v>
      </c>
      <c r="C37" s="26" t="inlineStr">
        <is>
          <t>أجور مباشرة - دفعة ثانية</t>
        </is>
      </c>
      <c r="D37" s="26" t="inlineStr">
        <is>
          <t>أجور مباشرة</t>
        </is>
      </c>
      <c r="E37" s="27" t="n">
        <v>29412</v>
      </c>
      <c r="F37" s="27" t="n"/>
    </row>
    <row r="38" ht="15" customHeight="1" s="24">
      <c r="A38" s="26" t="inlineStr">
        <is>
          <t>2026-02-10</t>
        </is>
      </c>
      <c r="B38" s="26" t="n">
        <v>2</v>
      </c>
      <c r="C38" s="26" t="inlineStr">
        <is>
          <t>تكاليف صناعية غير مباشرة - دفعة أولى</t>
        </is>
      </c>
      <c r="D38" s="26" t="inlineStr">
        <is>
          <t>تكاليف صناعية غير مباشرة</t>
        </is>
      </c>
      <c r="E38" s="27" t="n">
        <v>31992</v>
      </c>
      <c r="F38" s="27" t="n"/>
    </row>
    <row r="39" ht="15" customHeight="1" s="24">
      <c r="A39" s="26" t="inlineStr">
        <is>
          <t>2026-02-25</t>
        </is>
      </c>
      <c r="B39" s="26" t="n">
        <v>2</v>
      </c>
      <c r="C39" s="26" t="inlineStr">
        <is>
          <t>تكاليف صناعية غير مباشرة - دفعة ثانية</t>
        </is>
      </c>
      <c r="D39" s="26" t="inlineStr">
        <is>
          <t>تكاليف صناعية غير مباشرة</t>
        </is>
      </c>
      <c r="E39" s="27" t="n">
        <v>19608</v>
      </c>
      <c r="F39" s="27" t="n"/>
    </row>
    <row r="40" ht="15" customHeight="1" s="24">
      <c r="A40" s="26" t="inlineStr">
        <is>
          <t>2026-02-10</t>
        </is>
      </c>
      <c r="B40" s="26" t="n">
        <v>2</v>
      </c>
      <c r="C40" s="26" t="inlineStr">
        <is>
          <t>رواتب وأجور إدارية - دفعة أولى</t>
        </is>
      </c>
      <c r="D40" s="26" t="inlineStr">
        <is>
          <t>رواتب وأجور إدارية</t>
        </is>
      </c>
      <c r="E40" s="27" t="n">
        <v>57040</v>
      </c>
      <c r="F40" s="27" t="n"/>
    </row>
    <row r="41" ht="15" customHeight="1" s="24">
      <c r="A41" s="26" t="inlineStr">
        <is>
          <t>2026-02-25</t>
        </is>
      </c>
      <c r="B41" s="26" t="n">
        <v>2</v>
      </c>
      <c r="C41" s="26" t="inlineStr">
        <is>
          <t>رواتب وأجور إدارية - دفعة ثانية</t>
        </is>
      </c>
      <c r="D41" s="26" t="inlineStr">
        <is>
          <t>رواتب وأجور إدارية</t>
        </is>
      </c>
      <c r="E41" s="27" t="n">
        <v>34960</v>
      </c>
      <c r="F41" s="27" t="n"/>
    </row>
    <row r="42" ht="15" customHeight="1" s="24">
      <c r="A42" s="26" t="inlineStr">
        <is>
          <t>2026-02-01</t>
        </is>
      </c>
      <c r="B42" s="26" t="n">
        <v>2</v>
      </c>
      <c r="C42" s="26" t="inlineStr">
        <is>
          <t>قيد إيجار الشهري</t>
        </is>
      </c>
      <c r="D42" s="26" t="inlineStr">
        <is>
          <t>إيجار</t>
        </is>
      </c>
      <c r="E42" s="27" t="n">
        <v>30000</v>
      </c>
      <c r="F42" s="27" t="n"/>
    </row>
    <row r="43" ht="15" customHeight="1" s="24">
      <c r="A43" s="26" t="inlineStr">
        <is>
          <t>2026-02-10</t>
        </is>
      </c>
      <c r="B43" s="26" t="n">
        <v>2</v>
      </c>
      <c r="C43" s="26" t="inlineStr">
        <is>
          <t>تسويق وإعلان - دفعة أولى</t>
        </is>
      </c>
      <c r="D43" s="26" t="inlineStr">
        <is>
          <t>تسويق وإعلان</t>
        </is>
      </c>
      <c r="E43" s="27" t="n">
        <v>9920</v>
      </c>
      <c r="F43" s="27" t="n"/>
    </row>
    <row r="44" ht="15" customHeight="1" s="24">
      <c r="A44" s="26" t="inlineStr">
        <is>
          <t>2026-02-25</t>
        </is>
      </c>
      <c r="B44" s="26" t="n">
        <v>2</v>
      </c>
      <c r="C44" s="26" t="inlineStr">
        <is>
          <t>تسويق وإعلان - دفعة ثانية</t>
        </is>
      </c>
      <c r="D44" s="26" t="inlineStr">
        <is>
          <t>تسويق وإعلان</t>
        </is>
      </c>
      <c r="E44" s="27" t="n">
        <v>6080</v>
      </c>
      <c r="F44" s="27" t="n"/>
    </row>
    <row r="45" ht="15" customHeight="1" s="24">
      <c r="A45" s="26" t="inlineStr">
        <is>
          <t>2026-02-10</t>
        </is>
      </c>
      <c r="B45" s="26" t="n">
        <v>2</v>
      </c>
      <c r="C45" s="26" t="inlineStr">
        <is>
          <t>مرافق (كهرباء/مياه) - دفعة أولى</t>
        </is>
      </c>
      <c r="D45" s="26" t="inlineStr">
        <is>
          <t>مرافق (كهرباء/مياه)</t>
        </is>
      </c>
      <c r="E45" s="27" t="n">
        <v>5084</v>
      </c>
      <c r="F45" s="27" t="n"/>
    </row>
    <row r="46" ht="15" customHeight="1" s="24">
      <c r="A46" s="26" t="inlineStr">
        <is>
          <t>2026-02-25</t>
        </is>
      </c>
      <c r="B46" s="26" t="n">
        <v>2</v>
      </c>
      <c r="C46" s="26" t="inlineStr">
        <is>
          <t>مرافق (كهرباء/مياه) - دفعة ثانية</t>
        </is>
      </c>
      <c r="D46" s="26" t="inlineStr">
        <is>
          <t>مرافق (كهرباء/مياه)</t>
        </is>
      </c>
      <c r="E46" s="27" t="n">
        <v>3116</v>
      </c>
      <c r="F46" s="27" t="n"/>
    </row>
    <row r="47" ht="15" customHeight="1" s="24">
      <c r="A47" s="26" t="inlineStr">
        <is>
          <t>2026-02-10</t>
        </is>
      </c>
      <c r="B47" s="26" t="n">
        <v>2</v>
      </c>
      <c r="C47" s="26" t="inlineStr">
        <is>
          <t>صيانة - دفعة أولى</t>
        </is>
      </c>
      <c r="D47" s="26" t="inlineStr">
        <is>
          <t>صيانة</t>
        </is>
      </c>
      <c r="E47" s="27" t="n">
        <v>3224</v>
      </c>
      <c r="F47" s="27" t="n"/>
    </row>
    <row r="48" ht="15" customHeight="1" s="24">
      <c r="A48" s="26" t="inlineStr">
        <is>
          <t>2026-02-25</t>
        </is>
      </c>
      <c r="B48" s="26" t="n">
        <v>2</v>
      </c>
      <c r="C48" s="26" t="inlineStr">
        <is>
          <t>صيانة - دفعة ثانية</t>
        </is>
      </c>
      <c r="D48" s="26" t="inlineStr">
        <is>
          <t>صيانة</t>
        </is>
      </c>
      <c r="E48" s="27" t="n">
        <v>1976</v>
      </c>
      <c r="F48" s="27" t="n"/>
    </row>
    <row r="49" ht="15" customHeight="1" s="24">
      <c r="A49" s="26" t="inlineStr">
        <is>
          <t>2026-02-01</t>
        </is>
      </c>
      <c r="B49" s="26" t="n">
        <v>2</v>
      </c>
      <c r="C49" s="26" t="inlineStr">
        <is>
          <t>قيد تأمين الشهري</t>
        </is>
      </c>
      <c r="D49" s="26" t="inlineStr">
        <is>
          <t>تأمين</t>
        </is>
      </c>
      <c r="E49" s="27" t="n">
        <v>6000</v>
      </c>
      <c r="F49" s="27" t="n"/>
    </row>
    <row r="50" ht="15" customHeight="1" s="24">
      <c r="A50" s="26" t="inlineStr">
        <is>
          <t>2026-02-05</t>
        </is>
      </c>
      <c r="B50" s="26" t="n">
        <v>2</v>
      </c>
      <c r="C50" s="26" t="inlineStr">
        <is>
          <t>أتعاب استشارات محاسبية</t>
        </is>
      </c>
      <c r="D50" s="26" t="inlineStr">
        <is>
          <t>أتعاب مهنية</t>
        </is>
      </c>
      <c r="E50" s="27" t="n">
        <v>4000</v>
      </c>
      <c r="F50" s="27" t="n"/>
    </row>
    <row r="51" ht="15" customHeight="1" s="24">
      <c r="A51" s="26" t="inlineStr">
        <is>
          <t>2026-02-01</t>
        </is>
      </c>
      <c r="B51" s="26" t="n">
        <v>2</v>
      </c>
      <c r="C51" s="26" t="inlineStr">
        <is>
          <t>قيد إهلاك الشهري</t>
        </is>
      </c>
      <c r="D51" s="26" t="inlineStr">
        <is>
          <t>إهلاك</t>
        </is>
      </c>
      <c r="E51" s="27" t="n">
        <v>12000</v>
      </c>
      <c r="F51" s="27" t="n"/>
    </row>
    <row r="52" ht="15" customHeight="1" s="24">
      <c r="A52" s="26" t="inlineStr">
        <is>
          <t>2026-02-10</t>
        </is>
      </c>
      <c r="B52" s="26" t="n">
        <v>2</v>
      </c>
      <c r="C52" s="26" t="inlineStr">
        <is>
          <t>مصروفات متنوعة / غير مصنَّف - دفعة أولى</t>
        </is>
      </c>
      <c r="D52" s="26" t="inlineStr">
        <is>
          <t>مصروفات متنوعة / غير مصنَّف</t>
        </is>
      </c>
      <c r="E52" s="27" t="n">
        <v>1922</v>
      </c>
      <c r="F52" s="27" t="n"/>
    </row>
    <row r="53" ht="15" customHeight="1" s="24">
      <c r="A53" s="26" t="inlineStr">
        <is>
          <t>2026-02-25</t>
        </is>
      </c>
      <c r="B53" s="26" t="n">
        <v>2</v>
      </c>
      <c r="C53" s="26" t="inlineStr">
        <is>
          <t>مصروفات متنوعة / غير مصنَّف - دفعة ثانية</t>
        </is>
      </c>
      <c r="D53" s="26" t="inlineStr">
        <is>
          <t>مصروفات متنوعة / غير مصنَّف</t>
        </is>
      </c>
      <c r="E53" s="27" t="n">
        <v>1178</v>
      </c>
      <c r="F53" s="27" t="n"/>
    </row>
    <row r="54" ht="15" customHeight="1" s="24">
      <c r="A54" s="26" t="inlineStr">
        <is>
          <t>2026-03-10</t>
        </is>
      </c>
      <c r="B54" s="26" t="n">
        <v>3</v>
      </c>
      <c r="C54" s="26" t="inlineStr">
        <is>
          <t>مبيعات منتجات - فرع رئيسي</t>
        </is>
      </c>
      <c r="D54" s="26" t="inlineStr">
        <is>
          <t>مبيعات منتجات</t>
        </is>
      </c>
      <c r="E54" s="27" t="n"/>
      <c r="F54" s="27" t="n">
        <v>324880</v>
      </c>
    </row>
    <row r="55" ht="15" customHeight="1" s="24">
      <c r="A55" s="26" t="inlineStr">
        <is>
          <t>2026-03-25</t>
        </is>
      </c>
      <c r="B55" s="26" t="n">
        <v>3</v>
      </c>
      <c r="C55" s="26" t="inlineStr">
        <is>
          <t>مبيعات منتجات - فرع فرعي</t>
        </is>
      </c>
      <c r="D55" s="26" t="inlineStr">
        <is>
          <t>مبيعات منتجات</t>
        </is>
      </c>
      <c r="E55" s="27" t="n"/>
      <c r="F55" s="27" t="n">
        <v>199120</v>
      </c>
    </row>
    <row r="56" ht="15" customHeight="1" s="24">
      <c r="A56" s="26" t="inlineStr">
        <is>
          <t>2026-03-10</t>
        </is>
      </c>
      <c r="B56" s="26" t="n">
        <v>3</v>
      </c>
      <c r="C56" s="26" t="inlineStr">
        <is>
          <t>إيرادات خدمات - فرع رئيسي</t>
        </is>
      </c>
      <c r="D56" s="26" t="inlineStr">
        <is>
          <t>إيرادات خدمات</t>
        </is>
      </c>
      <c r="E56" s="27" t="n"/>
      <c r="F56" s="27" t="n">
        <v>84320</v>
      </c>
    </row>
    <row r="57" ht="15" customHeight="1" s="24">
      <c r="A57" s="26" t="inlineStr">
        <is>
          <t>2026-03-25</t>
        </is>
      </c>
      <c r="B57" s="26" t="n">
        <v>3</v>
      </c>
      <c r="C57" s="26" t="inlineStr">
        <is>
          <t>إيرادات خدمات - فرع فرعي</t>
        </is>
      </c>
      <c r="D57" s="26" t="inlineStr">
        <is>
          <t>إيرادات خدمات</t>
        </is>
      </c>
      <c r="E57" s="27" t="n"/>
      <c r="F57" s="27" t="n">
        <v>51680</v>
      </c>
    </row>
    <row r="58" ht="15" customHeight="1" s="24">
      <c r="A58" s="26" t="inlineStr">
        <is>
          <t>2026-03-10</t>
        </is>
      </c>
      <c r="B58" s="26" t="n">
        <v>3</v>
      </c>
      <c r="C58" s="26" t="inlineStr">
        <is>
          <t>إيرادات أخرى - فرع رئيسي</t>
        </is>
      </c>
      <c r="D58" s="26" t="inlineStr">
        <is>
          <t>إيرادات أخرى</t>
        </is>
      </c>
      <c r="E58" s="27" t="n"/>
      <c r="F58" s="27" t="n">
        <v>3472</v>
      </c>
    </row>
    <row r="59" ht="15" customHeight="1" s="24">
      <c r="A59" s="26" t="inlineStr">
        <is>
          <t>2026-03-25</t>
        </is>
      </c>
      <c r="B59" s="26" t="n">
        <v>3</v>
      </c>
      <c r="C59" s="26" t="inlineStr">
        <is>
          <t>إيرادات أخرى - فرع فرعي</t>
        </is>
      </c>
      <c r="D59" s="26" t="inlineStr">
        <is>
          <t>إيرادات أخرى</t>
        </is>
      </c>
      <c r="E59" s="27" t="n"/>
      <c r="F59" s="27" t="n">
        <v>2128</v>
      </c>
    </row>
    <row r="60" ht="15" customHeight="1" s="24">
      <c r="A60" s="26" t="inlineStr">
        <is>
          <t>2026-03-10</t>
        </is>
      </c>
      <c r="B60" s="26" t="n">
        <v>3</v>
      </c>
      <c r="C60" s="26" t="inlineStr">
        <is>
          <t>مواد خام مباشرة - دفعة أولى</t>
        </is>
      </c>
      <c r="D60" s="26" t="inlineStr">
        <is>
          <t>مواد خام مباشرة</t>
        </is>
      </c>
      <c r="E60" s="27" t="n">
        <v>113708</v>
      </c>
      <c r="F60" s="27" t="n"/>
    </row>
    <row r="61" ht="15" customHeight="1" s="24">
      <c r="A61" s="26" t="inlineStr">
        <is>
          <t>2026-03-25</t>
        </is>
      </c>
      <c r="B61" s="26" t="n">
        <v>3</v>
      </c>
      <c r="C61" s="26" t="inlineStr">
        <is>
          <t>مواد خام مباشرة - دفعة ثانية</t>
        </is>
      </c>
      <c r="D61" s="26" t="inlineStr">
        <is>
          <t>مواد خام مباشرة</t>
        </is>
      </c>
      <c r="E61" s="27" t="n">
        <v>69692</v>
      </c>
      <c r="F61" s="27" t="n"/>
    </row>
    <row r="62" ht="15" customHeight="1" s="24">
      <c r="A62" s="26" t="inlineStr">
        <is>
          <t>2026-03-10</t>
        </is>
      </c>
      <c r="B62" s="26" t="n">
        <v>3</v>
      </c>
      <c r="C62" s="26" t="inlineStr">
        <is>
          <t>أجور مباشرة - دفعة أولى</t>
        </is>
      </c>
      <c r="D62" s="26" t="inlineStr">
        <is>
          <t>أجور مباشرة</t>
        </is>
      </c>
      <c r="E62" s="27" t="n">
        <v>48732</v>
      </c>
      <c r="F62" s="27" t="n"/>
    </row>
    <row r="63" ht="15" customHeight="1" s="24">
      <c r="A63" s="26" t="inlineStr">
        <is>
          <t>2026-03-25</t>
        </is>
      </c>
      <c r="B63" s="26" t="n">
        <v>3</v>
      </c>
      <c r="C63" s="26" t="inlineStr">
        <is>
          <t>أجور مباشرة - دفعة ثانية</t>
        </is>
      </c>
      <c r="D63" s="26" t="inlineStr">
        <is>
          <t>أجور مباشرة</t>
        </is>
      </c>
      <c r="E63" s="27" t="n">
        <v>29868</v>
      </c>
      <c r="F63" s="27" t="n"/>
    </row>
    <row r="64" ht="15" customHeight="1" s="24">
      <c r="A64" s="26" t="inlineStr">
        <is>
          <t>2026-03-10</t>
        </is>
      </c>
      <c r="B64" s="26" t="n">
        <v>3</v>
      </c>
      <c r="C64" s="26" t="inlineStr">
        <is>
          <t>تكاليف صناعية غير مباشرة - دفعة أولى</t>
        </is>
      </c>
      <c r="D64" s="26" t="inlineStr">
        <is>
          <t>تكاليف صناعية غير مباشرة</t>
        </is>
      </c>
      <c r="E64" s="27" t="n">
        <v>32488</v>
      </c>
      <c r="F64" s="27" t="n"/>
    </row>
    <row r="65" ht="15" customHeight="1" s="24">
      <c r="A65" s="26" t="inlineStr">
        <is>
          <t>2026-03-25</t>
        </is>
      </c>
      <c r="B65" s="26" t="n">
        <v>3</v>
      </c>
      <c r="C65" s="26" t="inlineStr">
        <is>
          <t>تكاليف صناعية غير مباشرة - دفعة ثانية</t>
        </is>
      </c>
      <c r="D65" s="26" t="inlineStr">
        <is>
          <t>تكاليف صناعية غير مباشرة</t>
        </is>
      </c>
      <c r="E65" s="27" t="n">
        <v>19912</v>
      </c>
      <c r="F65" s="27" t="n"/>
    </row>
    <row r="66" ht="15" customHeight="1" s="24">
      <c r="A66" s="26" t="inlineStr">
        <is>
          <t>2026-03-10</t>
        </is>
      </c>
      <c r="B66" s="26" t="n">
        <v>3</v>
      </c>
      <c r="C66" s="26" t="inlineStr">
        <is>
          <t>رواتب وأجور إدارية - دفعة أولى</t>
        </is>
      </c>
      <c r="D66" s="26" t="inlineStr">
        <is>
          <t>رواتب وأجور إدارية</t>
        </is>
      </c>
      <c r="E66" s="27" t="n">
        <v>57660</v>
      </c>
      <c r="F66" s="27" t="n"/>
    </row>
    <row r="67" ht="15" customHeight="1" s="24">
      <c r="A67" s="26" t="inlineStr">
        <is>
          <t>2026-03-25</t>
        </is>
      </c>
      <c r="B67" s="26" t="n">
        <v>3</v>
      </c>
      <c r="C67" s="26" t="inlineStr">
        <is>
          <t>رواتب وأجور إدارية - دفعة ثانية</t>
        </is>
      </c>
      <c r="D67" s="26" t="inlineStr">
        <is>
          <t>رواتب وأجور إدارية</t>
        </is>
      </c>
      <c r="E67" s="27" t="n">
        <v>35340</v>
      </c>
      <c r="F67" s="27" t="n"/>
    </row>
    <row r="68" ht="15" customHeight="1" s="24">
      <c r="A68" s="26" t="inlineStr">
        <is>
          <t>2026-03-01</t>
        </is>
      </c>
      <c r="B68" s="26" t="n">
        <v>3</v>
      </c>
      <c r="C68" s="26" t="inlineStr">
        <is>
          <t>قيد إيجار الشهري</t>
        </is>
      </c>
      <c r="D68" s="26" t="inlineStr">
        <is>
          <t>إيجار</t>
        </is>
      </c>
      <c r="E68" s="27" t="n">
        <v>30000</v>
      </c>
      <c r="F68" s="27" t="n"/>
    </row>
    <row r="69" ht="15" customHeight="1" s="24">
      <c r="A69" s="26" t="inlineStr">
        <is>
          <t>2026-03-10</t>
        </is>
      </c>
      <c r="B69" s="26" t="n">
        <v>3</v>
      </c>
      <c r="C69" s="26" t="inlineStr">
        <is>
          <t>تسويق وإعلان - دفعة أولى</t>
        </is>
      </c>
      <c r="D69" s="26" t="inlineStr">
        <is>
          <t>تسويق وإعلان</t>
        </is>
      </c>
      <c r="E69" s="27" t="n">
        <v>10230</v>
      </c>
      <c r="F69" s="27" t="n"/>
    </row>
    <row r="70" ht="15" customHeight="1" s="24">
      <c r="A70" s="26" t="inlineStr">
        <is>
          <t>2026-03-25</t>
        </is>
      </c>
      <c r="B70" s="26" t="n">
        <v>3</v>
      </c>
      <c r="C70" s="26" t="inlineStr">
        <is>
          <t>تسويق وإعلان - دفعة ثانية</t>
        </is>
      </c>
      <c r="D70" s="26" t="inlineStr">
        <is>
          <t>تسويق وإعلان</t>
        </is>
      </c>
      <c r="E70" s="27" t="n">
        <v>6270</v>
      </c>
      <c r="F70" s="27" t="n"/>
    </row>
    <row r="71" ht="15" customHeight="1" s="24">
      <c r="A71" s="26" t="inlineStr">
        <is>
          <t>2026-03-10</t>
        </is>
      </c>
      <c r="B71" s="26" t="n">
        <v>3</v>
      </c>
      <c r="C71" s="26" t="inlineStr">
        <is>
          <t>مرافق (كهرباء/مياه) - دفعة أولى</t>
        </is>
      </c>
      <c r="D71" s="26" t="inlineStr">
        <is>
          <t>مرافق (كهرباء/مياه)</t>
        </is>
      </c>
      <c r="E71" s="27" t="n">
        <v>5146</v>
      </c>
      <c r="F71" s="27" t="n"/>
    </row>
    <row r="72" ht="15" customHeight="1" s="24">
      <c r="A72" s="26" t="inlineStr">
        <is>
          <t>2026-03-25</t>
        </is>
      </c>
      <c r="B72" s="26" t="n">
        <v>3</v>
      </c>
      <c r="C72" s="26" t="inlineStr">
        <is>
          <t>مرافق (كهرباء/مياه) - دفعة ثانية</t>
        </is>
      </c>
      <c r="D72" s="26" t="inlineStr">
        <is>
          <t>مرافق (كهرباء/مياه)</t>
        </is>
      </c>
      <c r="E72" s="27" t="n">
        <v>3154</v>
      </c>
      <c r="F72" s="27" t="n"/>
    </row>
    <row r="73" ht="15" customHeight="1" s="24">
      <c r="A73" s="26" t="inlineStr">
        <is>
          <t>2026-03-10</t>
        </is>
      </c>
      <c r="B73" s="26" t="n">
        <v>3</v>
      </c>
      <c r="C73" s="26" t="inlineStr">
        <is>
          <t>صيانة - دفعة أولى</t>
        </is>
      </c>
      <c r="D73" s="26" t="inlineStr">
        <is>
          <t>صيانة</t>
        </is>
      </c>
      <c r="E73" s="27" t="n">
        <v>3286</v>
      </c>
      <c r="F73" s="27" t="n"/>
    </row>
    <row r="74" ht="15" customHeight="1" s="24">
      <c r="A74" s="26" t="inlineStr">
        <is>
          <t>2026-03-25</t>
        </is>
      </c>
      <c r="B74" s="26" t="n">
        <v>3</v>
      </c>
      <c r="C74" s="26" t="inlineStr">
        <is>
          <t>صيانة - دفعة ثانية</t>
        </is>
      </c>
      <c r="D74" s="26" t="inlineStr">
        <is>
          <t>صيانة</t>
        </is>
      </c>
      <c r="E74" s="27" t="n">
        <v>2014</v>
      </c>
      <c r="F74" s="27" t="n"/>
    </row>
    <row r="75" ht="15" customHeight="1" s="24">
      <c r="A75" s="26" t="inlineStr">
        <is>
          <t>2026-03-01</t>
        </is>
      </c>
      <c r="B75" s="26" t="n">
        <v>3</v>
      </c>
      <c r="C75" s="26" t="inlineStr">
        <is>
          <t>قيد تأمين الشهري</t>
        </is>
      </c>
      <c r="D75" s="26" t="inlineStr">
        <is>
          <t>تأمين</t>
        </is>
      </c>
      <c r="E75" s="27" t="n">
        <v>6000</v>
      </c>
      <c r="F75" s="27" t="n"/>
    </row>
    <row r="76" ht="15" customHeight="1" s="24">
      <c r="A76" s="26" t="inlineStr">
        <is>
          <t>2026-03-05</t>
        </is>
      </c>
      <c r="B76" s="26" t="n">
        <v>3</v>
      </c>
      <c r="C76" s="26" t="inlineStr">
        <is>
          <t>أتعاب استشارات محاسبية</t>
        </is>
      </c>
      <c r="D76" s="26" t="inlineStr">
        <is>
          <t>أتعاب مهنية</t>
        </is>
      </c>
      <c r="E76" s="27" t="n">
        <v>4000</v>
      </c>
      <c r="F76" s="27" t="n"/>
    </row>
    <row r="77" ht="15" customHeight="1" s="24">
      <c r="A77" s="26" t="inlineStr">
        <is>
          <t>2026-03-01</t>
        </is>
      </c>
      <c r="B77" s="26" t="n">
        <v>3</v>
      </c>
      <c r="C77" s="26" t="inlineStr">
        <is>
          <t>قيد إهلاك الشهري</t>
        </is>
      </c>
      <c r="D77" s="26" t="inlineStr">
        <is>
          <t>إهلاك</t>
        </is>
      </c>
      <c r="E77" s="27" t="n">
        <v>12000</v>
      </c>
      <c r="F77" s="27" t="n"/>
    </row>
    <row r="78" ht="15" customHeight="1" s="24">
      <c r="A78" s="26" t="inlineStr">
        <is>
          <t>2026-03-10</t>
        </is>
      </c>
      <c r="B78" s="26" t="n">
        <v>3</v>
      </c>
      <c r="C78" s="26" t="inlineStr">
        <is>
          <t>مصروفات متنوعة / غير مصنَّف - دفعة أولى</t>
        </is>
      </c>
      <c r="D78" s="26" t="inlineStr">
        <is>
          <t>مصروفات متنوعة / غير مصنَّف</t>
        </is>
      </c>
      <c r="E78" s="27" t="n">
        <v>1953</v>
      </c>
      <c r="F78" s="27" t="n"/>
    </row>
    <row r="79" ht="15" customHeight="1" s="24">
      <c r="A79" s="26" t="inlineStr">
        <is>
          <t>2026-03-25</t>
        </is>
      </c>
      <c r="B79" s="26" t="n">
        <v>3</v>
      </c>
      <c r="C79" s="26" t="inlineStr">
        <is>
          <t>مصروفات متنوعة / غير مصنَّف - دفعة ثانية</t>
        </is>
      </c>
      <c r="D79" s="26" t="inlineStr">
        <is>
          <t>مصروفات متنوعة / غير مصنَّف</t>
        </is>
      </c>
      <c r="E79" s="27" t="n">
        <v>1197</v>
      </c>
      <c r="F79" s="27" t="n"/>
    </row>
    <row r="80" ht="15" customHeight="1" s="24">
      <c r="A80" s="26" t="inlineStr">
        <is>
          <t>2026-04-10</t>
        </is>
      </c>
      <c r="B80" s="26" t="n">
        <v>4</v>
      </c>
      <c r="C80" s="26" t="inlineStr">
        <is>
          <t>مبيعات منتجات - فرع رئيسي</t>
        </is>
      </c>
      <c r="D80" s="26" t="inlineStr">
        <is>
          <t>مبيعات منتجات</t>
        </is>
      </c>
      <c r="E80" s="27" t="n"/>
      <c r="F80" s="27" t="n">
        <v>329840</v>
      </c>
    </row>
    <row r="81" ht="15" customHeight="1" s="24">
      <c r="A81" s="26" t="inlineStr">
        <is>
          <t>2026-04-25</t>
        </is>
      </c>
      <c r="B81" s="26" t="n">
        <v>4</v>
      </c>
      <c r="C81" s="26" t="inlineStr">
        <is>
          <t>مبيعات منتجات - فرع فرعي</t>
        </is>
      </c>
      <c r="D81" s="26" t="inlineStr">
        <is>
          <t>مبيعات منتجات</t>
        </is>
      </c>
      <c r="E81" s="27" t="n"/>
      <c r="F81" s="27" t="n">
        <v>202160</v>
      </c>
    </row>
    <row r="82" ht="15" customHeight="1" s="24">
      <c r="A82" s="26" t="inlineStr">
        <is>
          <t>2026-04-10</t>
        </is>
      </c>
      <c r="B82" s="26" t="n">
        <v>4</v>
      </c>
      <c r="C82" s="26" t="inlineStr">
        <is>
          <t>إيرادات خدمات - فرع رئيسي</t>
        </is>
      </c>
      <c r="D82" s="26" t="inlineStr">
        <is>
          <t>إيرادات خدمات</t>
        </is>
      </c>
      <c r="E82" s="27" t="n"/>
      <c r="F82" s="27" t="n">
        <v>85560</v>
      </c>
    </row>
    <row r="83" ht="15" customHeight="1" s="24">
      <c r="A83" s="26" t="inlineStr">
        <is>
          <t>2026-04-25</t>
        </is>
      </c>
      <c r="B83" s="26" t="n">
        <v>4</v>
      </c>
      <c r="C83" s="26" t="inlineStr">
        <is>
          <t>إيرادات خدمات - فرع فرعي</t>
        </is>
      </c>
      <c r="D83" s="26" t="inlineStr">
        <is>
          <t>إيرادات خدمات</t>
        </is>
      </c>
      <c r="E83" s="27" t="n"/>
      <c r="F83" s="27" t="n">
        <v>52440</v>
      </c>
    </row>
    <row r="84" ht="15" customHeight="1" s="24">
      <c r="A84" s="26" t="inlineStr">
        <is>
          <t>2026-04-10</t>
        </is>
      </c>
      <c r="B84" s="26" t="n">
        <v>4</v>
      </c>
      <c r="C84" s="26" t="inlineStr">
        <is>
          <t>إيرادات أخرى - فرع رئيسي</t>
        </is>
      </c>
      <c r="D84" s="26" t="inlineStr">
        <is>
          <t>إيرادات أخرى</t>
        </is>
      </c>
      <c r="E84" s="27" t="n"/>
      <c r="F84" s="27" t="n">
        <v>3596</v>
      </c>
    </row>
    <row r="85" ht="15" customHeight="1" s="24">
      <c r="A85" s="26" t="inlineStr">
        <is>
          <t>2026-04-25</t>
        </is>
      </c>
      <c r="B85" s="26" t="n">
        <v>4</v>
      </c>
      <c r="C85" s="26" t="inlineStr">
        <is>
          <t>إيرادات أخرى - فرع فرعي</t>
        </is>
      </c>
      <c r="D85" s="26" t="inlineStr">
        <is>
          <t>إيرادات أخرى</t>
        </is>
      </c>
      <c r="E85" s="27" t="n"/>
      <c r="F85" s="27" t="n">
        <v>2204</v>
      </c>
    </row>
    <row r="86" ht="15" customHeight="1" s="24">
      <c r="A86" s="26" t="inlineStr">
        <is>
          <t>2026-04-10</t>
        </is>
      </c>
      <c r="B86" s="26" t="n">
        <v>4</v>
      </c>
      <c r="C86" s="26" t="inlineStr">
        <is>
          <t>مواد خام مباشرة - دفعة أولى</t>
        </is>
      </c>
      <c r="D86" s="26" t="inlineStr">
        <is>
          <t>مواد خام مباشرة</t>
        </is>
      </c>
      <c r="E86" s="27" t="n">
        <v>115444</v>
      </c>
      <c r="F86" s="27" t="n"/>
    </row>
    <row r="87" ht="15" customHeight="1" s="24">
      <c r="A87" s="26" t="inlineStr">
        <is>
          <t>2026-04-25</t>
        </is>
      </c>
      <c r="B87" s="26" t="n">
        <v>4</v>
      </c>
      <c r="C87" s="26" t="inlineStr">
        <is>
          <t>مواد خام مباشرة - دفعة ثانية</t>
        </is>
      </c>
      <c r="D87" s="26" t="inlineStr">
        <is>
          <t>مواد خام مباشرة</t>
        </is>
      </c>
      <c r="E87" s="27" t="n">
        <v>70756</v>
      </c>
      <c r="F87" s="27" t="n"/>
    </row>
    <row r="88" ht="15" customHeight="1" s="24">
      <c r="A88" s="26" t="inlineStr">
        <is>
          <t>2026-04-10</t>
        </is>
      </c>
      <c r="B88" s="26" t="n">
        <v>4</v>
      </c>
      <c r="C88" s="26" t="inlineStr">
        <is>
          <t>أجور مباشرة - دفعة أولى</t>
        </is>
      </c>
      <c r="D88" s="26" t="inlineStr">
        <is>
          <t>أجور مباشرة</t>
        </is>
      </c>
      <c r="E88" s="27" t="n">
        <v>49476</v>
      </c>
      <c r="F88" s="27" t="n"/>
    </row>
    <row r="89" ht="15" customHeight="1" s="24">
      <c r="A89" s="26" t="inlineStr">
        <is>
          <t>2026-04-25</t>
        </is>
      </c>
      <c r="B89" s="26" t="n">
        <v>4</v>
      </c>
      <c r="C89" s="26" t="inlineStr">
        <is>
          <t>أجور مباشرة - دفعة ثانية</t>
        </is>
      </c>
      <c r="D89" s="26" t="inlineStr">
        <is>
          <t>أجور مباشرة</t>
        </is>
      </c>
      <c r="E89" s="27" t="n">
        <v>30324</v>
      </c>
      <c r="F89" s="27" t="n"/>
    </row>
    <row r="90" ht="15" customHeight="1" s="24">
      <c r="A90" s="26" t="inlineStr">
        <is>
          <t>2026-04-10</t>
        </is>
      </c>
      <c r="B90" s="26" t="n">
        <v>4</v>
      </c>
      <c r="C90" s="26" t="inlineStr">
        <is>
          <t>تكاليف صناعية غير مباشرة - دفعة أولى</t>
        </is>
      </c>
      <c r="D90" s="26" t="inlineStr">
        <is>
          <t>تكاليف صناعية غير مباشرة</t>
        </is>
      </c>
      <c r="E90" s="27" t="n">
        <v>32984</v>
      </c>
      <c r="F90" s="27" t="n"/>
    </row>
    <row r="91" ht="15" customHeight="1" s="24">
      <c r="A91" s="26" t="inlineStr">
        <is>
          <t>2026-04-25</t>
        </is>
      </c>
      <c r="B91" s="26" t="n">
        <v>4</v>
      </c>
      <c r="C91" s="26" t="inlineStr">
        <is>
          <t>تكاليف صناعية غير مباشرة - دفعة ثانية</t>
        </is>
      </c>
      <c r="D91" s="26" t="inlineStr">
        <is>
          <t>تكاليف صناعية غير مباشرة</t>
        </is>
      </c>
      <c r="E91" s="27" t="n">
        <v>20216</v>
      </c>
      <c r="F91" s="27" t="n"/>
    </row>
    <row r="92" ht="15" customHeight="1" s="24">
      <c r="A92" s="26" t="inlineStr">
        <is>
          <t>2026-04-10</t>
        </is>
      </c>
      <c r="B92" s="26" t="n">
        <v>4</v>
      </c>
      <c r="C92" s="26" t="inlineStr">
        <is>
          <t>رواتب وأجور إدارية - دفعة أولى</t>
        </is>
      </c>
      <c r="D92" s="26" t="inlineStr">
        <is>
          <t>رواتب وأجور إدارية</t>
        </is>
      </c>
      <c r="E92" s="27" t="n">
        <v>58280</v>
      </c>
      <c r="F92" s="27" t="n"/>
    </row>
    <row r="93" ht="15" customHeight="1" s="24">
      <c r="A93" s="26" t="inlineStr">
        <is>
          <t>2026-04-25</t>
        </is>
      </c>
      <c r="B93" s="26" t="n">
        <v>4</v>
      </c>
      <c r="C93" s="26" t="inlineStr">
        <is>
          <t>رواتب وأجور إدارية - دفعة ثانية</t>
        </is>
      </c>
      <c r="D93" s="26" t="inlineStr">
        <is>
          <t>رواتب وأجور إدارية</t>
        </is>
      </c>
      <c r="E93" s="27" t="n">
        <v>35720</v>
      </c>
      <c r="F93" s="27" t="n"/>
    </row>
    <row r="94" ht="15" customHeight="1" s="24">
      <c r="A94" s="26" t="inlineStr">
        <is>
          <t>2026-04-01</t>
        </is>
      </c>
      <c r="B94" s="26" t="n">
        <v>4</v>
      </c>
      <c r="C94" s="26" t="inlineStr">
        <is>
          <t>قيد إيجار الشهري</t>
        </is>
      </c>
      <c r="D94" s="26" t="inlineStr">
        <is>
          <t>إيجار</t>
        </is>
      </c>
      <c r="E94" s="27" t="n">
        <v>30000</v>
      </c>
      <c r="F94" s="27" t="n"/>
    </row>
    <row r="95" ht="15" customHeight="1" s="24">
      <c r="A95" s="26" t="inlineStr">
        <is>
          <t>2026-04-10</t>
        </is>
      </c>
      <c r="B95" s="26" t="n">
        <v>4</v>
      </c>
      <c r="C95" s="26" t="inlineStr">
        <is>
          <t>تسويق وإعلان - دفعة أولى</t>
        </is>
      </c>
      <c r="D95" s="26" t="inlineStr">
        <is>
          <t>تسويق وإعلان</t>
        </is>
      </c>
      <c r="E95" s="27" t="n">
        <v>10540</v>
      </c>
      <c r="F95" s="27" t="n"/>
    </row>
    <row r="96" ht="15" customHeight="1" s="24">
      <c r="A96" s="26" t="inlineStr">
        <is>
          <t>2026-04-25</t>
        </is>
      </c>
      <c r="B96" s="26" t="n">
        <v>4</v>
      </c>
      <c r="C96" s="26" t="inlineStr">
        <is>
          <t>تسويق وإعلان - دفعة ثانية</t>
        </is>
      </c>
      <c r="D96" s="26" t="inlineStr">
        <is>
          <t>تسويق وإعلان</t>
        </is>
      </c>
      <c r="E96" s="27" t="n">
        <v>6460</v>
      </c>
      <c r="F96" s="27" t="n"/>
    </row>
    <row r="97" ht="15" customHeight="1" s="24">
      <c r="A97" s="26" t="inlineStr">
        <is>
          <t>2026-04-10</t>
        </is>
      </c>
      <c r="B97" s="26" t="n">
        <v>4</v>
      </c>
      <c r="C97" s="26" t="inlineStr">
        <is>
          <t>مرافق (كهرباء/مياه) - دفعة أولى</t>
        </is>
      </c>
      <c r="D97" s="26" t="inlineStr">
        <is>
          <t>مرافق (كهرباء/مياه)</t>
        </is>
      </c>
      <c r="E97" s="27" t="n">
        <v>5208</v>
      </c>
      <c r="F97" s="27" t="n"/>
    </row>
    <row r="98" ht="15" customHeight="1" s="24">
      <c r="A98" s="26" t="inlineStr">
        <is>
          <t>2026-04-25</t>
        </is>
      </c>
      <c r="B98" s="26" t="n">
        <v>4</v>
      </c>
      <c r="C98" s="26" t="inlineStr">
        <is>
          <t>مرافق (كهرباء/مياه) - دفعة ثانية</t>
        </is>
      </c>
      <c r="D98" s="26" t="inlineStr">
        <is>
          <t>مرافق (كهرباء/مياه)</t>
        </is>
      </c>
      <c r="E98" s="27" t="n">
        <v>3192</v>
      </c>
      <c r="F98" s="27" t="n"/>
    </row>
    <row r="99" ht="15" customHeight="1" s="24">
      <c r="A99" s="26" t="inlineStr">
        <is>
          <t>2026-04-10</t>
        </is>
      </c>
      <c r="B99" s="26" t="n">
        <v>4</v>
      </c>
      <c r="C99" s="26" t="inlineStr">
        <is>
          <t>صيانة - دفعة أولى</t>
        </is>
      </c>
      <c r="D99" s="26" t="inlineStr">
        <is>
          <t>صيانة</t>
        </is>
      </c>
      <c r="E99" s="27" t="n">
        <v>3348</v>
      </c>
      <c r="F99" s="27" t="n"/>
    </row>
    <row r="100" ht="15" customHeight="1" s="24">
      <c r="A100" s="26" t="inlineStr">
        <is>
          <t>2026-04-25</t>
        </is>
      </c>
      <c r="B100" s="26" t="n">
        <v>4</v>
      </c>
      <c r="C100" s="26" t="inlineStr">
        <is>
          <t>صيانة - دفعة ثانية</t>
        </is>
      </c>
      <c r="D100" s="26" t="inlineStr">
        <is>
          <t>صيانة</t>
        </is>
      </c>
      <c r="E100" s="27" t="n">
        <v>2052</v>
      </c>
      <c r="F100" s="27" t="n"/>
    </row>
    <row r="101" ht="15" customHeight="1" s="24">
      <c r="A101" s="26" t="inlineStr">
        <is>
          <t>2026-04-01</t>
        </is>
      </c>
      <c r="B101" s="26" t="n">
        <v>4</v>
      </c>
      <c r="C101" s="26" t="inlineStr">
        <is>
          <t>قيد تأمين الشهري</t>
        </is>
      </c>
      <c r="D101" s="26" t="inlineStr">
        <is>
          <t>تأمين</t>
        </is>
      </c>
      <c r="E101" s="27" t="n">
        <v>6000</v>
      </c>
      <c r="F101" s="27" t="n"/>
    </row>
    <row r="102" ht="15" customHeight="1" s="24">
      <c r="A102" s="26" t="inlineStr">
        <is>
          <t>2026-04-20</t>
        </is>
      </c>
      <c r="B102" s="26" t="n">
        <v>4</v>
      </c>
      <c r="C102" s="26" t="inlineStr">
        <is>
          <t>أتعاب مراجعة ربع سنوية</t>
        </is>
      </c>
      <c r="D102" s="26" t="inlineStr">
        <is>
          <t>أتعاب مهنية</t>
        </is>
      </c>
      <c r="E102" s="27" t="n">
        <v>15000</v>
      </c>
      <c r="F102" s="27" t="n"/>
    </row>
    <row r="103" ht="15" customHeight="1" s="24">
      <c r="A103" s="26" t="inlineStr">
        <is>
          <t>2026-04-01</t>
        </is>
      </c>
      <c r="B103" s="26" t="n">
        <v>4</v>
      </c>
      <c r="C103" s="26" t="inlineStr">
        <is>
          <t>قيد إهلاك الشهري</t>
        </is>
      </c>
      <c r="D103" s="26" t="inlineStr">
        <is>
          <t>إهلاك</t>
        </is>
      </c>
      <c r="E103" s="27" t="n">
        <v>12000</v>
      </c>
      <c r="F103" s="27" t="n"/>
    </row>
    <row r="104" ht="15" customHeight="1" s="24">
      <c r="A104" s="26" t="inlineStr">
        <is>
          <t>2026-04-10</t>
        </is>
      </c>
      <c r="B104" s="26" t="n">
        <v>4</v>
      </c>
      <c r="C104" s="26" t="inlineStr">
        <is>
          <t>مصروفات متنوعة / غير مصنَّف - دفعة أولى</t>
        </is>
      </c>
      <c r="D104" s="26" t="inlineStr">
        <is>
          <t>مصروفات متنوعة / غير مصنَّف</t>
        </is>
      </c>
      <c r="E104" s="27" t="n">
        <v>1984</v>
      </c>
      <c r="F104" s="27" t="n"/>
    </row>
    <row r="105" ht="15" customHeight="1" s="24">
      <c r="A105" s="26" t="inlineStr">
        <is>
          <t>2026-04-25</t>
        </is>
      </c>
      <c r="B105" s="26" t="n">
        <v>4</v>
      </c>
      <c r="C105" s="26" t="inlineStr">
        <is>
          <t>مصروفات متنوعة / غير مصنَّف - دفعة ثانية</t>
        </is>
      </c>
      <c r="D105" s="26" t="inlineStr">
        <is>
          <t>مصروفات متنوعة / غير مصنَّف</t>
        </is>
      </c>
      <c r="E105" s="27" t="n">
        <v>1216</v>
      </c>
      <c r="F105" s="27" t="n"/>
    </row>
    <row r="106" ht="15" customHeight="1" s="24">
      <c r="A106" s="26" t="inlineStr">
        <is>
          <t>2026-05-10</t>
        </is>
      </c>
      <c r="B106" s="26" t="n">
        <v>5</v>
      </c>
      <c r="C106" s="26" t="inlineStr">
        <is>
          <t>مبيعات منتجات - فرع رئيسي</t>
        </is>
      </c>
      <c r="D106" s="26" t="inlineStr">
        <is>
          <t>مبيعات منتجات</t>
        </is>
      </c>
      <c r="E106" s="27" t="n"/>
      <c r="F106" s="27" t="n">
        <v>334800</v>
      </c>
    </row>
    <row r="107" ht="15" customHeight="1" s="24">
      <c r="A107" s="26" t="inlineStr">
        <is>
          <t>2026-05-25</t>
        </is>
      </c>
      <c r="B107" s="26" t="n">
        <v>5</v>
      </c>
      <c r="C107" s="26" t="inlineStr">
        <is>
          <t>مبيعات منتجات - فرع فرعي</t>
        </is>
      </c>
      <c r="D107" s="26" t="inlineStr">
        <is>
          <t>مبيعات منتجات</t>
        </is>
      </c>
      <c r="E107" s="27" t="n"/>
      <c r="F107" s="27" t="n">
        <v>205200</v>
      </c>
    </row>
    <row r="108" ht="15" customHeight="1" s="24">
      <c r="A108" s="26" t="inlineStr">
        <is>
          <t>2026-05-10</t>
        </is>
      </c>
      <c r="B108" s="26" t="n">
        <v>5</v>
      </c>
      <c r="C108" s="26" t="inlineStr">
        <is>
          <t>إيرادات خدمات - فرع رئيسي</t>
        </is>
      </c>
      <c r="D108" s="26" t="inlineStr">
        <is>
          <t>إيرادات خدمات</t>
        </is>
      </c>
      <c r="E108" s="27" t="n"/>
      <c r="F108" s="27" t="n">
        <v>86800</v>
      </c>
    </row>
    <row r="109" ht="15" customHeight="1" s="24">
      <c r="A109" s="26" t="inlineStr">
        <is>
          <t>2026-05-25</t>
        </is>
      </c>
      <c r="B109" s="26" t="n">
        <v>5</v>
      </c>
      <c r="C109" s="26" t="inlineStr">
        <is>
          <t>إيرادات خدمات - فرع فرعي</t>
        </is>
      </c>
      <c r="D109" s="26" t="inlineStr">
        <is>
          <t>إيرادات خدمات</t>
        </is>
      </c>
      <c r="E109" s="27" t="n"/>
      <c r="F109" s="27" t="n">
        <v>53200</v>
      </c>
    </row>
    <row r="110" ht="15" customHeight="1" s="24">
      <c r="A110" s="26" t="inlineStr">
        <is>
          <t>2026-05-10</t>
        </is>
      </c>
      <c r="B110" s="26" t="n">
        <v>5</v>
      </c>
      <c r="C110" s="26" t="inlineStr">
        <is>
          <t>إيرادات أخرى - فرع رئيسي</t>
        </is>
      </c>
      <c r="D110" s="26" t="inlineStr">
        <is>
          <t>إيرادات أخرى</t>
        </is>
      </c>
      <c r="E110" s="27" t="n"/>
      <c r="F110" s="27" t="n">
        <v>3720</v>
      </c>
    </row>
    <row r="111" ht="15" customHeight="1" s="24">
      <c r="A111" s="26" t="inlineStr">
        <is>
          <t>2026-05-25</t>
        </is>
      </c>
      <c r="B111" s="26" t="n">
        <v>5</v>
      </c>
      <c r="C111" s="26" t="inlineStr">
        <is>
          <t>إيرادات أخرى - فرع فرعي</t>
        </is>
      </c>
      <c r="D111" s="26" t="inlineStr">
        <is>
          <t>إيرادات أخرى</t>
        </is>
      </c>
      <c r="E111" s="27" t="n"/>
      <c r="F111" s="27" t="n">
        <v>2280</v>
      </c>
    </row>
    <row r="112" ht="15" customHeight="1" s="24">
      <c r="A112" s="26" t="inlineStr">
        <is>
          <t>2026-05-10</t>
        </is>
      </c>
      <c r="B112" s="26" t="n">
        <v>5</v>
      </c>
      <c r="C112" s="26" t="inlineStr">
        <is>
          <t>مواد خام مباشرة - دفعة أولى</t>
        </is>
      </c>
      <c r="D112" s="26" t="inlineStr">
        <is>
          <t>مواد خام مباشرة</t>
        </is>
      </c>
      <c r="E112" s="27" t="n">
        <v>117180</v>
      </c>
      <c r="F112" s="27" t="n"/>
    </row>
    <row r="113" ht="15" customHeight="1" s="24">
      <c r="A113" s="26" t="inlineStr">
        <is>
          <t>2026-05-25</t>
        </is>
      </c>
      <c r="B113" s="26" t="n">
        <v>5</v>
      </c>
      <c r="C113" s="26" t="inlineStr">
        <is>
          <t>مواد خام مباشرة - دفعة ثانية</t>
        </is>
      </c>
      <c r="D113" s="26" t="inlineStr">
        <is>
          <t>مواد خام مباشرة</t>
        </is>
      </c>
      <c r="E113" s="27" t="n">
        <v>71820</v>
      </c>
      <c r="F113" s="27" t="n"/>
    </row>
    <row r="114" ht="15" customHeight="1" s="24">
      <c r="A114" s="26" t="inlineStr">
        <is>
          <t>2026-05-10</t>
        </is>
      </c>
      <c r="B114" s="26" t="n">
        <v>5</v>
      </c>
      <c r="C114" s="26" t="inlineStr">
        <is>
          <t>أجور مباشرة - دفعة أولى</t>
        </is>
      </c>
      <c r="D114" s="26" t="inlineStr">
        <is>
          <t>أجور مباشرة</t>
        </is>
      </c>
      <c r="E114" s="27" t="n">
        <v>50220</v>
      </c>
      <c r="F114" s="27" t="n"/>
    </row>
    <row r="115" ht="15" customHeight="1" s="24">
      <c r="A115" s="26" t="inlineStr">
        <is>
          <t>2026-05-25</t>
        </is>
      </c>
      <c r="B115" s="26" t="n">
        <v>5</v>
      </c>
      <c r="C115" s="26" t="inlineStr">
        <is>
          <t>أجور مباشرة - دفعة ثانية</t>
        </is>
      </c>
      <c r="D115" s="26" t="inlineStr">
        <is>
          <t>أجور مباشرة</t>
        </is>
      </c>
      <c r="E115" s="27" t="n">
        <v>30780</v>
      </c>
      <c r="F115" s="27" t="n"/>
    </row>
    <row r="116" ht="15" customHeight="1" s="24">
      <c r="A116" s="26" t="inlineStr">
        <is>
          <t>2026-05-10</t>
        </is>
      </c>
      <c r="B116" s="26" t="n">
        <v>5</v>
      </c>
      <c r="C116" s="26" t="inlineStr">
        <is>
          <t>تكاليف صناعية غير مباشرة - دفعة أولى</t>
        </is>
      </c>
      <c r="D116" s="26" t="inlineStr">
        <is>
          <t>تكاليف صناعية غير مباشرة</t>
        </is>
      </c>
      <c r="E116" s="27" t="n">
        <v>33480</v>
      </c>
      <c r="F116" s="27" t="n"/>
    </row>
    <row r="117" ht="15" customHeight="1" s="24">
      <c r="A117" s="26" t="inlineStr">
        <is>
          <t>2026-05-25</t>
        </is>
      </c>
      <c r="B117" s="26" t="n">
        <v>5</v>
      </c>
      <c r="C117" s="26" t="inlineStr">
        <is>
          <t>تكاليف صناعية غير مباشرة - دفعة ثانية</t>
        </is>
      </c>
      <c r="D117" s="26" t="inlineStr">
        <is>
          <t>تكاليف صناعية غير مباشرة</t>
        </is>
      </c>
      <c r="E117" s="27" t="n">
        <v>20520</v>
      </c>
      <c r="F117" s="27" t="n"/>
    </row>
    <row r="118" ht="15" customHeight="1" s="24">
      <c r="A118" s="26" t="inlineStr">
        <is>
          <t>2026-05-10</t>
        </is>
      </c>
      <c r="B118" s="26" t="n">
        <v>5</v>
      </c>
      <c r="C118" s="26" t="inlineStr">
        <is>
          <t>رواتب وأجور إدارية - دفعة أولى</t>
        </is>
      </c>
      <c r="D118" s="26" t="inlineStr">
        <is>
          <t>رواتب وأجور إدارية</t>
        </is>
      </c>
      <c r="E118" s="27" t="n">
        <v>58900</v>
      </c>
      <c r="F118" s="27" t="n"/>
    </row>
    <row r="119" ht="15" customHeight="1" s="24">
      <c r="A119" s="26" t="inlineStr">
        <is>
          <t>2026-05-25</t>
        </is>
      </c>
      <c r="B119" s="26" t="n">
        <v>5</v>
      </c>
      <c r="C119" s="26" t="inlineStr">
        <is>
          <t>رواتب وأجور إدارية - دفعة ثانية</t>
        </is>
      </c>
      <c r="D119" s="26" t="inlineStr">
        <is>
          <t>رواتب وأجور إدارية</t>
        </is>
      </c>
      <c r="E119" s="27" t="n">
        <v>36100</v>
      </c>
      <c r="F119" s="27" t="n"/>
    </row>
    <row r="120" ht="15" customHeight="1" s="24">
      <c r="A120" s="26" t="inlineStr">
        <is>
          <t>2026-05-01</t>
        </is>
      </c>
      <c r="B120" s="26" t="n">
        <v>5</v>
      </c>
      <c r="C120" s="26" t="inlineStr">
        <is>
          <t>قيد إيجار الشهري</t>
        </is>
      </c>
      <c r="D120" s="26" t="inlineStr">
        <is>
          <t>إيجار</t>
        </is>
      </c>
      <c r="E120" s="27" t="n">
        <v>30000</v>
      </c>
      <c r="F120" s="27" t="n"/>
    </row>
    <row r="121" ht="15" customHeight="1" s="24">
      <c r="A121" s="26" t="inlineStr">
        <is>
          <t>2026-05-10</t>
        </is>
      </c>
      <c r="B121" s="26" t="n">
        <v>5</v>
      </c>
      <c r="C121" s="26" t="inlineStr">
        <is>
          <t>تسويق وإعلان - دفعة أولى</t>
        </is>
      </c>
      <c r="D121" s="26" t="inlineStr">
        <is>
          <t>تسويق وإعلان</t>
        </is>
      </c>
      <c r="E121" s="27" t="n">
        <v>10850</v>
      </c>
      <c r="F121" s="27" t="n"/>
    </row>
    <row r="122" ht="15" customHeight="1" s="24">
      <c r="A122" s="26" t="inlineStr">
        <is>
          <t>2026-05-25</t>
        </is>
      </c>
      <c r="B122" s="26" t="n">
        <v>5</v>
      </c>
      <c r="C122" s="26" t="inlineStr">
        <is>
          <t>تسويق وإعلان - دفعة ثانية</t>
        </is>
      </c>
      <c r="D122" s="26" t="inlineStr">
        <is>
          <t>تسويق وإعلان</t>
        </is>
      </c>
      <c r="E122" s="27" t="n">
        <v>6650</v>
      </c>
      <c r="F122" s="27" t="n"/>
    </row>
    <row r="123" ht="15" customHeight="1" s="24">
      <c r="A123" s="26" t="inlineStr">
        <is>
          <t>2026-05-10</t>
        </is>
      </c>
      <c r="B123" s="26" t="n">
        <v>5</v>
      </c>
      <c r="C123" s="26" t="inlineStr">
        <is>
          <t>مرافق (كهرباء/مياه) - دفعة أولى</t>
        </is>
      </c>
      <c r="D123" s="26" t="inlineStr">
        <is>
          <t>مرافق (كهرباء/مياه)</t>
        </is>
      </c>
      <c r="E123" s="27" t="n">
        <v>5270</v>
      </c>
      <c r="F123" s="27" t="n"/>
    </row>
    <row r="124" ht="15" customHeight="1" s="24">
      <c r="A124" s="26" t="inlineStr">
        <is>
          <t>2026-05-25</t>
        </is>
      </c>
      <c r="B124" s="26" t="n">
        <v>5</v>
      </c>
      <c r="C124" s="26" t="inlineStr">
        <is>
          <t>مرافق (كهرباء/مياه) - دفعة ثانية</t>
        </is>
      </c>
      <c r="D124" s="26" t="inlineStr">
        <is>
          <t>مرافق (كهرباء/مياه)</t>
        </is>
      </c>
      <c r="E124" s="27" t="n">
        <v>3230</v>
      </c>
      <c r="F124" s="27" t="n"/>
    </row>
    <row r="125" ht="15" customHeight="1" s="24">
      <c r="A125" s="26" t="inlineStr">
        <is>
          <t>2026-05-10</t>
        </is>
      </c>
      <c r="B125" s="26" t="n">
        <v>5</v>
      </c>
      <c r="C125" s="26" t="inlineStr">
        <is>
          <t>صيانة - دفعة أولى</t>
        </is>
      </c>
      <c r="D125" s="26" t="inlineStr">
        <is>
          <t>صيانة</t>
        </is>
      </c>
      <c r="E125" s="27" t="n">
        <v>3410</v>
      </c>
      <c r="F125" s="27" t="n"/>
    </row>
    <row r="126" ht="15" customHeight="1" s="24">
      <c r="A126" s="26" t="inlineStr">
        <is>
          <t>2026-05-25</t>
        </is>
      </c>
      <c r="B126" s="26" t="n">
        <v>5</v>
      </c>
      <c r="C126" s="26" t="inlineStr">
        <is>
          <t>صيانة - دفعة ثانية</t>
        </is>
      </c>
      <c r="D126" s="26" t="inlineStr">
        <is>
          <t>صيانة</t>
        </is>
      </c>
      <c r="E126" s="27" t="n">
        <v>2090</v>
      </c>
      <c r="F126" s="27" t="n"/>
    </row>
    <row r="127" ht="15" customHeight="1" s="24">
      <c r="A127" s="26" t="inlineStr">
        <is>
          <t>2026-05-01</t>
        </is>
      </c>
      <c r="B127" s="26" t="n">
        <v>5</v>
      </c>
      <c r="C127" s="26" t="inlineStr">
        <is>
          <t>قيد تأمين الشهري</t>
        </is>
      </c>
      <c r="D127" s="26" t="inlineStr">
        <is>
          <t>تأمين</t>
        </is>
      </c>
      <c r="E127" s="27" t="n">
        <v>6000</v>
      </c>
      <c r="F127" s="27" t="n"/>
    </row>
    <row r="128" ht="15" customHeight="1" s="24">
      <c r="A128" s="26" t="inlineStr">
        <is>
          <t>2026-05-05</t>
        </is>
      </c>
      <c r="B128" s="26" t="n">
        <v>5</v>
      </c>
      <c r="C128" s="26" t="inlineStr">
        <is>
          <t>أتعاب استشارات محاسبية</t>
        </is>
      </c>
      <c r="D128" s="26" t="inlineStr">
        <is>
          <t>أتعاب مهنية</t>
        </is>
      </c>
      <c r="E128" s="27" t="n">
        <v>4000</v>
      </c>
      <c r="F128" s="27" t="n"/>
    </row>
    <row r="129" ht="15" customHeight="1" s="24">
      <c r="A129" s="26" t="inlineStr">
        <is>
          <t>2026-05-01</t>
        </is>
      </c>
      <c r="B129" s="26" t="n">
        <v>5</v>
      </c>
      <c r="C129" s="26" t="inlineStr">
        <is>
          <t>قيد إهلاك الشهري</t>
        </is>
      </c>
      <c r="D129" s="26" t="inlineStr">
        <is>
          <t>إهلاك</t>
        </is>
      </c>
      <c r="E129" s="27" t="n">
        <v>12000</v>
      </c>
      <c r="F129" s="27" t="n"/>
    </row>
    <row r="130" ht="15" customHeight="1" s="24">
      <c r="A130" s="26" t="inlineStr">
        <is>
          <t>2026-05-10</t>
        </is>
      </c>
      <c r="B130" s="26" t="n">
        <v>5</v>
      </c>
      <c r="C130" s="26" t="inlineStr">
        <is>
          <t>مصروفات متنوعة / غير مصنَّف - دفعة أولى</t>
        </is>
      </c>
      <c r="D130" s="26" t="inlineStr">
        <is>
          <t>مصروفات متنوعة / غير مصنَّف</t>
        </is>
      </c>
      <c r="E130" s="27" t="n">
        <v>2015</v>
      </c>
      <c r="F130" s="27" t="n"/>
    </row>
    <row r="131" ht="15" customHeight="1" s="24">
      <c r="A131" s="26" t="inlineStr">
        <is>
          <t>2026-05-25</t>
        </is>
      </c>
      <c r="B131" s="26" t="n">
        <v>5</v>
      </c>
      <c r="C131" s="26" t="inlineStr">
        <is>
          <t>مصروفات متنوعة / غير مصنَّف - دفعة ثانية</t>
        </is>
      </c>
      <c r="D131" s="26" t="inlineStr">
        <is>
          <t>مصروفات متنوعة / غير مصنَّف</t>
        </is>
      </c>
      <c r="E131" s="27" t="n">
        <v>1235</v>
      </c>
      <c r="F131" s="27" t="n"/>
    </row>
    <row r="132" ht="15" customHeight="1" s="24">
      <c r="A132" s="26" t="inlineStr">
        <is>
          <t>2026-06-10</t>
        </is>
      </c>
      <c r="B132" s="26" t="n">
        <v>6</v>
      </c>
      <c r="C132" s="26" t="inlineStr">
        <is>
          <t>مبيعات منتجات - فرع رئيسي</t>
        </is>
      </c>
      <c r="D132" s="26" t="inlineStr">
        <is>
          <t>مبيعات منتجات</t>
        </is>
      </c>
      <c r="E132" s="27" t="n"/>
      <c r="F132" s="27" t="n">
        <v>339760</v>
      </c>
    </row>
    <row r="133" ht="15" customHeight="1" s="24">
      <c r="A133" s="26" t="inlineStr">
        <is>
          <t>2026-06-25</t>
        </is>
      </c>
      <c r="B133" s="26" t="n">
        <v>6</v>
      </c>
      <c r="C133" s="26" t="inlineStr">
        <is>
          <t>مبيعات منتجات - فرع فرعي</t>
        </is>
      </c>
      <c r="D133" s="26" t="inlineStr">
        <is>
          <t>مبيعات منتجات</t>
        </is>
      </c>
      <c r="E133" s="27" t="n"/>
      <c r="F133" s="27" t="n">
        <v>208240</v>
      </c>
    </row>
    <row r="134" ht="15" customHeight="1" s="24">
      <c r="A134" s="26" t="inlineStr">
        <is>
          <t>2026-06-10</t>
        </is>
      </c>
      <c r="B134" s="26" t="n">
        <v>6</v>
      </c>
      <c r="C134" s="26" t="inlineStr">
        <is>
          <t>إيرادات خدمات - فرع رئيسي</t>
        </is>
      </c>
      <c r="D134" s="26" t="inlineStr">
        <is>
          <t>إيرادات خدمات</t>
        </is>
      </c>
      <c r="E134" s="27" t="n"/>
      <c r="F134" s="27" t="n">
        <v>88040</v>
      </c>
    </row>
    <row r="135" ht="15" customHeight="1" s="24">
      <c r="A135" s="26" t="inlineStr">
        <is>
          <t>2026-06-25</t>
        </is>
      </c>
      <c r="B135" s="26" t="n">
        <v>6</v>
      </c>
      <c r="C135" s="26" t="inlineStr">
        <is>
          <t>إيرادات خدمات - فرع فرعي</t>
        </is>
      </c>
      <c r="D135" s="26" t="inlineStr">
        <is>
          <t>إيرادات خدمات</t>
        </is>
      </c>
      <c r="E135" s="27" t="n"/>
      <c r="F135" s="27" t="n">
        <v>53960</v>
      </c>
    </row>
    <row r="136" ht="15" customHeight="1" s="24">
      <c r="A136" s="26" t="inlineStr">
        <is>
          <t>2026-06-10</t>
        </is>
      </c>
      <c r="B136" s="26" t="n">
        <v>6</v>
      </c>
      <c r="C136" s="26" t="inlineStr">
        <is>
          <t>إيرادات أخرى - فرع رئيسي</t>
        </is>
      </c>
      <c r="D136" s="26" t="inlineStr">
        <is>
          <t>إيرادات أخرى</t>
        </is>
      </c>
      <c r="E136" s="27" t="n"/>
      <c r="F136" s="27" t="n">
        <v>3844</v>
      </c>
    </row>
    <row r="137" ht="15" customHeight="1" s="24">
      <c r="A137" s="26" t="inlineStr">
        <is>
          <t>2026-06-25</t>
        </is>
      </c>
      <c r="B137" s="26" t="n">
        <v>6</v>
      </c>
      <c r="C137" s="26" t="inlineStr">
        <is>
          <t>إيرادات أخرى - فرع فرعي</t>
        </is>
      </c>
      <c r="D137" s="26" t="inlineStr">
        <is>
          <t>إيرادات أخرى</t>
        </is>
      </c>
      <c r="E137" s="27" t="n"/>
      <c r="F137" s="27" t="n">
        <v>2356</v>
      </c>
    </row>
    <row r="138" ht="15" customHeight="1" s="24">
      <c r="A138" s="26" t="inlineStr">
        <is>
          <t>2026-06-10</t>
        </is>
      </c>
      <c r="B138" s="26" t="n">
        <v>6</v>
      </c>
      <c r="C138" s="26" t="inlineStr">
        <is>
          <t>مواد خام مباشرة - دفعة أولى</t>
        </is>
      </c>
      <c r="D138" s="26" t="inlineStr">
        <is>
          <t>مواد خام مباشرة</t>
        </is>
      </c>
      <c r="E138" s="27" t="n">
        <v>118916</v>
      </c>
      <c r="F138" s="27" t="n"/>
    </row>
    <row r="139" ht="15" customHeight="1" s="24">
      <c r="A139" s="26" t="inlineStr">
        <is>
          <t>2026-06-25</t>
        </is>
      </c>
      <c r="B139" s="26" t="n">
        <v>6</v>
      </c>
      <c r="C139" s="26" t="inlineStr">
        <is>
          <t>مواد خام مباشرة - دفعة ثانية</t>
        </is>
      </c>
      <c r="D139" s="26" t="inlineStr">
        <is>
          <t>مواد خام مباشرة</t>
        </is>
      </c>
      <c r="E139" s="27" t="n">
        <v>72884</v>
      </c>
      <c r="F139" s="27" t="n"/>
    </row>
    <row r="140" ht="15" customHeight="1" s="24">
      <c r="A140" s="26" t="inlineStr">
        <is>
          <t>2026-06-10</t>
        </is>
      </c>
      <c r="B140" s="26" t="n">
        <v>6</v>
      </c>
      <c r="C140" s="26" t="inlineStr">
        <is>
          <t>أجور مباشرة - دفعة أولى</t>
        </is>
      </c>
      <c r="D140" s="26" t="inlineStr">
        <is>
          <t>أجور مباشرة</t>
        </is>
      </c>
      <c r="E140" s="27" t="n">
        <v>50964</v>
      </c>
      <c r="F140" s="27" t="n"/>
    </row>
    <row r="141" ht="15" customHeight="1" s="24">
      <c r="A141" s="26" t="inlineStr">
        <is>
          <t>2026-06-25</t>
        </is>
      </c>
      <c r="B141" s="26" t="n">
        <v>6</v>
      </c>
      <c r="C141" s="26" t="inlineStr">
        <is>
          <t>أجور مباشرة - دفعة ثانية</t>
        </is>
      </c>
      <c r="D141" s="26" t="inlineStr">
        <is>
          <t>أجور مباشرة</t>
        </is>
      </c>
      <c r="E141" s="27" t="n">
        <v>31236</v>
      </c>
      <c r="F141" s="27" t="n"/>
    </row>
    <row r="142" ht="15" customHeight="1" s="24">
      <c r="A142" s="26" t="inlineStr">
        <is>
          <t>2026-06-10</t>
        </is>
      </c>
      <c r="B142" s="26" t="n">
        <v>6</v>
      </c>
      <c r="C142" s="26" t="inlineStr">
        <is>
          <t>تكاليف صناعية غير مباشرة - دفعة أولى</t>
        </is>
      </c>
      <c r="D142" s="26" t="inlineStr">
        <is>
          <t>تكاليف صناعية غير مباشرة</t>
        </is>
      </c>
      <c r="E142" s="27" t="n">
        <v>33976</v>
      </c>
      <c r="F142" s="27" t="n"/>
    </row>
    <row r="143" ht="15" customHeight="1" s="24">
      <c r="A143" s="26" t="inlineStr">
        <is>
          <t>2026-06-25</t>
        </is>
      </c>
      <c r="B143" s="26" t="n">
        <v>6</v>
      </c>
      <c r="C143" s="26" t="inlineStr">
        <is>
          <t>تكاليف صناعية غير مباشرة - دفعة ثانية</t>
        </is>
      </c>
      <c r="D143" s="26" t="inlineStr">
        <is>
          <t>تكاليف صناعية غير مباشرة</t>
        </is>
      </c>
      <c r="E143" s="27" t="n">
        <v>20824</v>
      </c>
      <c r="F143" s="27" t="n"/>
    </row>
    <row r="144" ht="15" customHeight="1" s="24">
      <c r="A144" s="26" t="inlineStr">
        <is>
          <t>2026-06-10</t>
        </is>
      </c>
      <c r="B144" s="26" t="n">
        <v>6</v>
      </c>
      <c r="C144" s="26" t="inlineStr">
        <is>
          <t>رواتب وأجور إدارية - دفعة أولى</t>
        </is>
      </c>
      <c r="D144" s="26" t="inlineStr">
        <is>
          <t>رواتب وأجور إدارية</t>
        </is>
      </c>
      <c r="E144" s="27" t="n">
        <v>59520</v>
      </c>
      <c r="F144" s="27" t="n"/>
    </row>
    <row r="145" ht="15" customHeight="1" s="24">
      <c r="A145" s="26" t="inlineStr">
        <is>
          <t>2026-06-25</t>
        </is>
      </c>
      <c r="B145" s="26" t="n">
        <v>6</v>
      </c>
      <c r="C145" s="26" t="inlineStr">
        <is>
          <t>رواتب وأجور إدارية - دفعة ثانية</t>
        </is>
      </c>
      <c r="D145" s="26" t="inlineStr">
        <is>
          <t>رواتب وأجور إدارية</t>
        </is>
      </c>
      <c r="E145" s="27" t="n">
        <v>36480</v>
      </c>
      <c r="F145" s="27" t="n"/>
    </row>
    <row r="146" ht="15" customHeight="1" s="24">
      <c r="A146" s="26" t="inlineStr">
        <is>
          <t>2026-06-01</t>
        </is>
      </c>
      <c r="B146" s="26" t="n">
        <v>6</v>
      </c>
      <c r="C146" s="26" t="inlineStr">
        <is>
          <t>قيد إيجار الشهري</t>
        </is>
      </c>
      <c r="D146" s="26" t="inlineStr">
        <is>
          <t>إيجار</t>
        </is>
      </c>
      <c r="E146" s="27" t="n">
        <v>30000</v>
      </c>
      <c r="F146" s="27" t="n"/>
    </row>
    <row r="147" ht="15" customHeight="1" s="24">
      <c r="A147" s="26" t="inlineStr">
        <is>
          <t>2026-06-10</t>
        </is>
      </c>
      <c r="B147" s="26" t="n">
        <v>6</v>
      </c>
      <c r="C147" s="26" t="inlineStr">
        <is>
          <t>تسويق وإعلان - دفعة أولى</t>
        </is>
      </c>
      <c r="D147" s="26" t="inlineStr">
        <is>
          <t>تسويق وإعلان</t>
        </is>
      </c>
      <c r="E147" s="27" t="n">
        <v>11160</v>
      </c>
      <c r="F147" s="27" t="n"/>
    </row>
    <row r="148" ht="15" customHeight="1" s="24">
      <c r="A148" s="26" t="inlineStr">
        <is>
          <t>2026-06-25</t>
        </is>
      </c>
      <c r="B148" s="26" t="n">
        <v>6</v>
      </c>
      <c r="C148" s="26" t="inlineStr">
        <is>
          <t>تسويق وإعلان - دفعة ثانية</t>
        </is>
      </c>
      <c r="D148" s="26" t="inlineStr">
        <is>
          <t>تسويق وإعلان</t>
        </is>
      </c>
      <c r="E148" s="27" t="n">
        <v>6840</v>
      </c>
      <c r="F148" s="27" t="n"/>
    </row>
    <row r="149" ht="15" customHeight="1" s="24">
      <c r="A149" s="26" t="inlineStr">
        <is>
          <t>2026-06-10</t>
        </is>
      </c>
      <c r="B149" s="26" t="n">
        <v>6</v>
      </c>
      <c r="C149" s="26" t="inlineStr">
        <is>
          <t>مرافق (كهرباء/مياه) - دفعة أولى</t>
        </is>
      </c>
      <c r="D149" s="26" t="inlineStr">
        <is>
          <t>مرافق (كهرباء/مياه)</t>
        </is>
      </c>
      <c r="E149" s="27" t="n">
        <v>5332</v>
      </c>
      <c r="F149" s="27" t="n"/>
    </row>
    <row r="150" ht="15" customHeight="1" s="24">
      <c r="A150" s="26" t="inlineStr">
        <is>
          <t>2026-06-25</t>
        </is>
      </c>
      <c r="B150" s="26" t="n">
        <v>6</v>
      </c>
      <c r="C150" s="26" t="inlineStr">
        <is>
          <t>مرافق (كهرباء/مياه) - دفعة ثانية</t>
        </is>
      </c>
      <c r="D150" s="26" t="inlineStr">
        <is>
          <t>مرافق (كهرباء/مياه)</t>
        </is>
      </c>
      <c r="E150" s="27" t="n">
        <v>3268</v>
      </c>
      <c r="F150" s="27" t="n"/>
    </row>
    <row r="151" ht="15" customHeight="1" s="24">
      <c r="A151" s="26" t="inlineStr">
        <is>
          <t>2026-06-10</t>
        </is>
      </c>
      <c r="B151" s="26" t="n">
        <v>6</v>
      </c>
      <c r="C151" s="26" t="inlineStr">
        <is>
          <t>صيانة - دفعة أولى</t>
        </is>
      </c>
      <c r="D151" s="26" t="inlineStr">
        <is>
          <t>صيانة</t>
        </is>
      </c>
      <c r="E151" s="27" t="n">
        <v>3472</v>
      </c>
      <c r="F151" s="27" t="n"/>
    </row>
    <row r="152" ht="15" customHeight="1" s="24">
      <c r="A152" s="26" t="inlineStr">
        <is>
          <t>2026-06-25</t>
        </is>
      </c>
      <c r="B152" s="26" t="n">
        <v>6</v>
      </c>
      <c r="C152" s="26" t="inlineStr">
        <is>
          <t>صيانة - دفعة ثانية</t>
        </is>
      </c>
      <c r="D152" s="26" t="inlineStr">
        <is>
          <t>صيانة</t>
        </is>
      </c>
      <c r="E152" s="27" t="n">
        <v>2128</v>
      </c>
      <c r="F152" s="27" t="n"/>
    </row>
    <row r="153" ht="15" customHeight="1" s="24">
      <c r="A153" s="26" t="inlineStr">
        <is>
          <t>2026-06-01</t>
        </is>
      </c>
      <c r="B153" s="26" t="n">
        <v>6</v>
      </c>
      <c r="C153" s="26" t="inlineStr">
        <is>
          <t>قيد تأمين الشهري</t>
        </is>
      </c>
      <c r="D153" s="26" t="inlineStr">
        <is>
          <t>تأمين</t>
        </is>
      </c>
      <c r="E153" s="27" t="n">
        <v>6000</v>
      </c>
      <c r="F153" s="27" t="n"/>
    </row>
    <row r="154" ht="15" customHeight="1" s="24">
      <c r="A154" s="26" t="inlineStr">
        <is>
          <t>2026-06-05</t>
        </is>
      </c>
      <c r="B154" s="26" t="n">
        <v>6</v>
      </c>
      <c r="C154" s="26" t="inlineStr">
        <is>
          <t>أتعاب استشارات محاسبية</t>
        </is>
      </c>
      <c r="D154" s="26" t="inlineStr">
        <is>
          <t>أتعاب مهنية</t>
        </is>
      </c>
      <c r="E154" s="27" t="n">
        <v>4000</v>
      </c>
      <c r="F154" s="27" t="n"/>
    </row>
    <row r="155" ht="15" customHeight="1" s="24">
      <c r="A155" s="26" t="inlineStr">
        <is>
          <t>2026-06-01</t>
        </is>
      </c>
      <c r="B155" s="26" t="n">
        <v>6</v>
      </c>
      <c r="C155" s="26" t="inlineStr">
        <is>
          <t>قيد إهلاك الشهري</t>
        </is>
      </c>
      <c r="D155" s="26" t="inlineStr">
        <is>
          <t>إهلاك</t>
        </is>
      </c>
      <c r="E155" s="27" t="n">
        <v>12000</v>
      </c>
      <c r="F155" s="27" t="n"/>
    </row>
    <row r="156" ht="15" customHeight="1" s="24">
      <c r="A156" s="26" t="inlineStr">
        <is>
          <t>2026-06-10</t>
        </is>
      </c>
      <c r="B156" s="26" t="n">
        <v>6</v>
      </c>
      <c r="C156" s="26" t="inlineStr">
        <is>
          <t>مصروفات متنوعة / غير مصنَّف - دفعة أولى</t>
        </is>
      </c>
      <c r="D156" s="26" t="inlineStr">
        <is>
          <t>مصروفات متنوعة / غير مصنَّف</t>
        </is>
      </c>
      <c r="E156" s="27" t="n">
        <v>2046</v>
      </c>
      <c r="F156" s="27" t="n"/>
    </row>
    <row r="157" ht="15" customHeight="1" s="24">
      <c r="A157" s="26" t="inlineStr">
        <is>
          <t>2026-06-25</t>
        </is>
      </c>
      <c r="B157" s="26" t="n">
        <v>6</v>
      </c>
      <c r="C157" s="26" t="inlineStr">
        <is>
          <t>مصروفات متنوعة / غير مصنَّف - دفعة ثانية</t>
        </is>
      </c>
      <c r="D157" s="26" t="inlineStr">
        <is>
          <t>مصروفات متنوعة / غير مصنَّف</t>
        </is>
      </c>
      <c r="E157" s="27" t="n">
        <v>1254</v>
      </c>
      <c r="F157" s="27" t="n"/>
    </row>
    <row r="158" ht="15" customHeight="1" s="24">
      <c r="A158" s="26" t="inlineStr">
        <is>
          <t>2026-07-10</t>
        </is>
      </c>
      <c r="B158" s="26" t="n">
        <v>7</v>
      </c>
      <c r="C158" s="26" t="inlineStr">
        <is>
          <t>مبيعات منتجات - فرع رئيسي</t>
        </is>
      </c>
      <c r="D158" s="26" t="inlineStr">
        <is>
          <t>مبيعات منتجات</t>
        </is>
      </c>
      <c r="E158" s="27" t="n"/>
      <c r="F158" s="27" t="n">
        <v>344720</v>
      </c>
    </row>
    <row r="159" ht="15" customHeight="1" s="24">
      <c r="A159" s="26" t="inlineStr">
        <is>
          <t>2026-07-25</t>
        </is>
      </c>
      <c r="B159" s="26" t="n">
        <v>7</v>
      </c>
      <c r="C159" s="26" t="inlineStr">
        <is>
          <t>مبيعات منتجات - فرع فرعي</t>
        </is>
      </c>
      <c r="D159" s="26" t="inlineStr">
        <is>
          <t>مبيعات منتجات</t>
        </is>
      </c>
      <c r="E159" s="27" t="n"/>
      <c r="F159" s="27" t="n">
        <v>211280</v>
      </c>
    </row>
    <row r="160" ht="15" customHeight="1" s="24">
      <c r="A160" s="26" t="inlineStr">
        <is>
          <t>2026-07-10</t>
        </is>
      </c>
      <c r="B160" s="26" t="n">
        <v>7</v>
      </c>
      <c r="C160" s="26" t="inlineStr">
        <is>
          <t>إيرادات خدمات - فرع رئيسي</t>
        </is>
      </c>
      <c r="D160" s="26" t="inlineStr">
        <is>
          <t>إيرادات خدمات</t>
        </is>
      </c>
      <c r="E160" s="27" t="n"/>
      <c r="F160" s="27" t="n">
        <v>89280</v>
      </c>
    </row>
    <row r="161" ht="15" customHeight="1" s="24">
      <c r="A161" s="26" t="inlineStr">
        <is>
          <t>2026-07-25</t>
        </is>
      </c>
      <c r="B161" s="26" t="n">
        <v>7</v>
      </c>
      <c r="C161" s="26" t="inlineStr">
        <is>
          <t>إيرادات خدمات - فرع فرعي</t>
        </is>
      </c>
      <c r="D161" s="26" t="inlineStr">
        <is>
          <t>إيرادات خدمات</t>
        </is>
      </c>
      <c r="E161" s="27" t="n"/>
      <c r="F161" s="27" t="n">
        <v>54720</v>
      </c>
    </row>
    <row r="162" ht="15" customHeight="1" s="24">
      <c r="A162" s="26" t="inlineStr">
        <is>
          <t>2026-07-10</t>
        </is>
      </c>
      <c r="B162" s="26" t="n">
        <v>7</v>
      </c>
      <c r="C162" s="26" t="inlineStr">
        <is>
          <t>إيرادات أخرى - فرع رئيسي</t>
        </is>
      </c>
      <c r="D162" s="26" t="inlineStr">
        <is>
          <t>إيرادات أخرى</t>
        </is>
      </c>
      <c r="E162" s="27" t="n"/>
      <c r="F162" s="27" t="n">
        <v>3968</v>
      </c>
    </row>
    <row r="163" ht="15" customHeight="1" s="24">
      <c r="A163" s="26" t="inlineStr">
        <is>
          <t>2026-07-25</t>
        </is>
      </c>
      <c r="B163" s="26" t="n">
        <v>7</v>
      </c>
      <c r="C163" s="26" t="inlineStr">
        <is>
          <t>إيرادات أخرى - فرع فرعي</t>
        </is>
      </c>
      <c r="D163" s="26" t="inlineStr">
        <is>
          <t>إيرادات أخرى</t>
        </is>
      </c>
      <c r="E163" s="27" t="n"/>
      <c r="F163" s="27" t="n">
        <v>2432</v>
      </c>
    </row>
    <row r="164" ht="15" customHeight="1" s="24">
      <c r="A164" s="26" t="inlineStr">
        <is>
          <t>2026-07-10</t>
        </is>
      </c>
      <c r="B164" s="26" t="n">
        <v>7</v>
      </c>
      <c r="C164" s="26" t="inlineStr">
        <is>
          <t>مواد خام مباشرة - دفعة أولى</t>
        </is>
      </c>
      <c r="D164" s="26" t="inlineStr">
        <is>
          <t>مواد خام مباشرة</t>
        </is>
      </c>
      <c r="E164" s="27" t="n">
        <v>120652</v>
      </c>
      <c r="F164" s="27" t="n"/>
    </row>
    <row r="165" ht="15" customHeight="1" s="24">
      <c r="A165" s="26" t="inlineStr">
        <is>
          <t>2026-07-25</t>
        </is>
      </c>
      <c r="B165" s="26" t="n">
        <v>7</v>
      </c>
      <c r="C165" s="26" t="inlineStr">
        <is>
          <t>مواد خام مباشرة - دفعة ثانية</t>
        </is>
      </c>
      <c r="D165" s="26" t="inlineStr">
        <is>
          <t>مواد خام مباشرة</t>
        </is>
      </c>
      <c r="E165" s="27" t="n">
        <v>73948</v>
      </c>
      <c r="F165" s="27" t="n"/>
    </row>
    <row r="166" ht="15" customHeight="1" s="24">
      <c r="A166" s="26" t="inlineStr">
        <is>
          <t>2026-07-10</t>
        </is>
      </c>
      <c r="B166" s="26" t="n">
        <v>7</v>
      </c>
      <c r="C166" s="26" t="inlineStr">
        <is>
          <t>أجور مباشرة - دفعة أولى</t>
        </is>
      </c>
      <c r="D166" s="26" t="inlineStr">
        <is>
          <t>أجور مباشرة</t>
        </is>
      </c>
      <c r="E166" s="27" t="n">
        <v>51708</v>
      </c>
      <c r="F166" s="27" t="n"/>
    </row>
    <row r="167" ht="15" customHeight="1" s="24">
      <c r="A167" s="26" t="inlineStr">
        <is>
          <t>2026-07-25</t>
        </is>
      </c>
      <c r="B167" s="26" t="n">
        <v>7</v>
      </c>
      <c r="C167" s="26" t="inlineStr">
        <is>
          <t>أجور مباشرة - دفعة ثانية</t>
        </is>
      </c>
      <c r="D167" s="26" t="inlineStr">
        <is>
          <t>أجور مباشرة</t>
        </is>
      </c>
      <c r="E167" s="27" t="n">
        <v>31692</v>
      </c>
      <c r="F167" s="27" t="n"/>
    </row>
    <row r="168" ht="15" customHeight="1" s="24">
      <c r="A168" s="26" t="inlineStr">
        <is>
          <t>2026-07-10</t>
        </is>
      </c>
      <c r="B168" s="26" t="n">
        <v>7</v>
      </c>
      <c r="C168" s="26" t="inlineStr">
        <is>
          <t>تكاليف صناعية غير مباشرة - دفعة أولى</t>
        </is>
      </c>
      <c r="D168" s="26" t="inlineStr">
        <is>
          <t>تكاليف صناعية غير مباشرة</t>
        </is>
      </c>
      <c r="E168" s="27" t="n">
        <v>34472</v>
      </c>
      <c r="F168" s="27" t="n"/>
    </row>
    <row r="169" ht="15" customHeight="1" s="24">
      <c r="A169" s="26" t="inlineStr">
        <is>
          <t>2026-07-25</t>
        </is>
      </c>
      <c r="B169" s="26" t="n">
        <v>7</v>
      </c>
      <c r="C169" s="26" t="inlineStr">
        <is>
          <t>تكاليف صناعية غير مباشرة - دفعة ثانية</t>
        </is>
      </c>
      <c r="D169" s="26" t="inlineStr">
        <is>
          <t>تكاليف صناعية غير مباشرة</t>
        </is>
      </c>
      <c r="E169" s="27" t="n">
        <v>21128</v>
      </c>
      <c r="F169" s="27" t="n"/>
    </row>
    <row r="170" ht="15" customHeight="1" s="24">
      <c r="A170" s="26" t="inlineStr">
        <is>
          <t>2026-07-10</t>
        </is>
      </c>
      <c r="B170" s="26" t="n">
        <v>7</v>
      </c>
      <c r="C170" s="26" t="inlineStr">
        <is>
          <t>رواتب وأجور إدارية - دفعة أولى</t>
        </is>
      </c>
      <c r="D170" s="26" t="inlineStr">
        <is>
          <t>رواتب وأجور إدارية</t>
        </is>
      </c>
      <c r="E170" s="27" t="n">
        <v>60140</v>
      </c>
      <c r="F170" s="27" t="n"/>
    </row>
    <row r="171" ht="15" customHeight="1" s="24">
      <c r="A171" s="26" t="inlineStr">
        <is>
          <t>2026-07-25</t>
        </is>
      </c>
      <c r="B171" s="26" t="n">
        <v>7</v>
      </c>
      <c r="C171" s="26" t="inlineStr">
        <is>
          <t>رواتب وأجور إدارية - دفعة ثانية</t>
        </is>
      </c>
      <c r="D171" s="26" t="inlineStr">
        <is>
          <t>رواتب وأجور إدارية</t>
        </is>
      </c>
      <c r="E171" s="27" t="n">
        <v>36860</v>
      </c>
      <c r="F171" s="27" t="n"/>
    </row>
    <row r="172" ht="15" customHeight="1" s="24">
      <c r="A172" s="26" t="inlineStr">
        <is>
          <t>2026-07-01</t>
        </is>
      </c>
      <c r="B172" s="26" t="n">
        <v>7</v>
      </c>
      <c r="C172" s="26" t="inlineStr">
        <is>
          <t>قيد إيجار الشهري</t>
        </is>
      </c>
      <c r="D172" s="26" t="inlineStr">
        <is>
          <t>إيجار</t>
        </is>
      </c>
      <c r="E172" s="27" t="n">
        <v>30000</v>
      </c>
      <c r="F172" s="27" t="n"/>
    </row>
    <row r="173" ht="15" customHeight="1" s="24">
      <c r="A173" s="26" t="inlineStr">
        <is>
          <t>2026-07-10</t>
        </is>
      </c>
      <c r="B173" s="26" t="n">
        <v>7</v>
      </c>
      <c r="C173" s="26" t="inlineStr">
        <is>
          <t>تسويق وإعلان - دفعة أولى</t>
        </is>
      </c>
      <c r="D173" s="26" t="inlineStr">
        <is>
          <t>تسويق وإعلان</t>
        </is>
      </c>
      <c r="E173" s="27" t="n">
        <v>43400</v>
      </c>
      <c r="F173" s="27" t="n"/>
    </row>
    <row r="174" ht="15" customHeight="1" s="24">
      <c r="A174" s="26" t="inlineStr">
        <is>
          <t>2026-07-25</t>
        </is>
      </c>
      <c r="B174" s="26" t="n">
        <v>7</v>
      </c>
      <c r="C174" s="26" t="inlineStr">
        <is>
          <t>تسويق وإعلان - دفعة ثانية</t>
        </is>
      </c>
      <c r="D174" s="26" t="inlineStr">
        <is>
          <t>تسويق وإعلان</t>
        </is>
      </c>
      <c r="E174" s="27" t="n">
        <v>26600</v>
      </c>
      <c r="F174" s="27" t="n"/>
    </row>
    <row r="175" ht="15" customHeight="1" s="24">
      <c r="A175" s="26" t="inlineStr">
        <is>
          <t>2026-07-10</t>
        </is>
      </c>
      <c r="B175" s="26" t="n">
        <v>7</v>
      </c>
      <c r="C175" s="26" t="inlineStr">
        <is>
          <t>مرافق (كهرباء/مياه) - دفعة أولى</t>
        </is>
      </c>
      <c r="D175" s="26" t="inlineStr">
        <is>
          <t>مرافق (كهرباء/مياه)</t>
        </is>
      </c>
      <c r="E175" s="27" t="n">
        <v>5394</v>
      </c>
      <c r="F175" s="27" t="n"/>
    </row>
    <row r="176" ht="15" customHeight="1" s="24">
      <c r="A176" s="26" t="inlineStr">
        <is>
          <t>2026-07-25</t>
        </is>
      </c>
      <c r="B176" s="26" t="n">
        <v>7</v>
      </c>
      <c r="C176" s="26" t="inlineStr">
        <is>
          <t>مرافق (كهرباء/مياه) - دفعة ثانية</t>
        </is>
      </c>
      <c r="D176" s="26" t="inlineStr">
        <is>
          <t>مرافق (كهرباء/مياه)</t>
        </is>
      </c>
      <c r="E176" s="27" t="n">
        <v>3306</v>
      </c>
      <c r="F176" s="27" t="n"/>
    </row>
    <row r="177" ht="15" customHeight="1" s="24">
      <c r="A177" s="26" t="inlineStr">
        <is>
          <t>2026-07-05</t>
        </is>
      </c>
      <c r="B177" s="26" t="n">
        <v>7</v>
      </c>
      <c r="C177" s="26" t="inlineStr">
        <is>
          <t>صيانة دورية لخطوط الإنتاج</t>
        </is>
      </c>
      <c r="D177" s="26" t="inlineStr">
        <is>
          <t>صيانة</t>
        </is>
      </c>
      <c r="E177" s="27" t="n">
        <v>5700</v>
      </c>
      <c r="F177" s="27" t="n"/>
    </row>
    <row r="178" ht="15" customHeight="1" s="24">
      <c r="A178" s="26" t="inlineStr">
        <is>
          <t>2026-07-18</t>
        </is>
      </c>
      <c r="B178" s="26" t="n">
        <v>7</v>
      </c>
      <c r="C178" s="26" t="inlineStr">
        <is>
          <t>شراء ماكينة إنتاج جديدة</t>
        </is>
      </c>
      <c r="D178" s="26" t="inlineStr">
        <is>
          <t>صيانة</t>
        </is>
      </c>
      <c r="E178" s="27" t="n">
        <v>180000</v>
      </c>
      <c r="F178" s="27" t="n"/>
    </row>
    <row r="179" ht="15" customHeight="1" s="24">
      <c r="A179" s="26" t="inlineStr">
        <is>
          <t>2026-07-01</t>
        </is>
      </c>
      <c r="B179" s="26" t="n">
        <v>7</v>
      </c>
      <c r="C179" s="26" t="inlineStr">
        <is>
          <t>قيد تأمين الشهري</t>
        </is>
      </c>
      <c r="D179" s="26" t="inlineStr">
        <is>
          <t>تأمين</t>
        </is>
      </c>
      <c r="E179" s="27" t="n">
        <v>6000</v>
      </c>
      <c r="F179" s="27" t="n"/>
    </row>
    <row r="180" ht="15" customHeight="1" s="24">
      <c r="A180" s="26" t="inlineStr">
        <is>
          <t>2026-07-05</t>
        </is>
      </c>
      <c r="B180" s="26" t="n">
        <v>7</v>
      </c>
      <c r="C180" s="26" t="inlineStr">
        <is>
          <t>أتعاب استشارات محاسبية</t>
        </is>
      </c>
      <c r="D180" s="26" t="inlineStr">
        <is>
          <t>أتعاب مهنية</t>
        </is>
      </c>
      <c r="E180" s="27" t="n">
        <v>4000</v>
      </c>
      <c r="F180" s="27" t="n"/>
    </row>
    <row r="181" ht="15" customHeight="1" s="24">
      <c r="A181" s="26" t="inlineStr">
        <is>
          <t>2026-07-01</t>
        </is>
      </c>
      <c r="B181" s="26" t="n">
        <v>7</v>
      </c>
      <c r="C181" s="26" t="inlineStr">
        <is>
          <t>قيد إهلاك الشهري</t>
        </is>
      </c>
      <c r="D181" s="26" t="inlineStr">
        <is>
          <t>إهلاك</t>
        </is>
      </c>
      <c r="E181" s="27" t="n">
        <v>12000</v>
      </c>
      <c r="F181" s="27" t="n"/>
    </row>
    <row r="182" ht="15" customHeight="1" s="24">
      <c r="A182" s="26" t="inlineStr">
        <is>
          <t>2026-07-10</t>
        </is>
      </c>
      <c r="B182" s="26" t="n">
        <v>7</v>
      </c>
      <c r="C182" s="26" t="inlineStr">
        <is>
          <t>مصروفات متنوعة / غير مصنَّف - دفعة أولى</t>
        </is>
      </c>
      <c r="D182" s="26" t="inlineStr">
        <is>
          <t>مصروفات متنوعة / غير مصنَّف</t>
        </is>
      </c>
      <c r="E182" s="27" t="n">
        <v>2077</v>
      </c>
      <c r="F182" s="27" t="n"/>
    </row>
    <row r="183" ht="15" customHeight="1" s="24">
      <c r="A183" s="26" t="inlineStr">
        <is>
          <t>2026-07-25</t>
        </is>
      </c>
      <c r="B183" s="26" t="n">
        <v>7</v>
      </c>
      <c r="C183" s="26" t="inlineStr">
        <is>
          <t>مصروفات متنوعة / غير مصنَّف - دفعة ثانية</t>
        </is>
      </c>
      <c r="D183" s="26" t="inlineStr">
        <is>
          <t>مصروفات متنوعة / غير مصنَّف</t>
        </is>
      </c>
      <c r="E183" s="27" t="n">
        <v>1273</v>
      </c>
      <c r="F183" s="27" t="n"/>
    </row>
    <row r="184" ht="15" customHeight="1" s="24">
      <c r="A184" s="26" t="inlineStr">
        <is>
          <t>2026-08-10</t>
        </is>
      </c>
      <c r="B184" s="26" t="n">
        <v>8</v>
      </c>
      <c r="C184" s="26" t="inlineStr">
        <is>
          <t>مبيعات منتجات - فرع رئيسي</t>
        </is>
      </c>
      <c r="D184" s="26" t="inlineStr">
        <is>
          <t>مبيعات منتجات</t>
        </is>
      </c>
      <c r="E184" s="27" t="n"/>
      <c r="F184" s="27" t="n">
        <v>349680</v>
      </c>
    </row>
    <row r="185" ht="15" customHeight="1" s="24">
      <c r="A185" s="26" t="inlineStr">
        <is>
          <t>2026-08-25</t>
        </is>
      </c>
      <c r="B185" s="26" t="n">
        <v>8</v>
      </c>
      <c r="C185" s="26" t="inlineStr">
        <is>
          <t>مبيعات منتجات - فرع فرعي</t>
        </is>
      </c>
      <c r="D185" s="26" t="inlineStr">
        <is>
          <t>مبيعات منتجات</t>
        </is>
      </c>
      <c r="E185" s="27" t="n"/>
      <c r="F185" s="27" t="n">
        <v>214320</v>
      </c>
    </row>
    <row r="186" ht="15" customHeight="1" s="24">
      <c r="A186" s="26" t="inlineStr">
        <is>
          <t>2026-08-10</t>
        </is>
      </c>
      <c r="B186" s="26" t="n">
        <v>8</v>
      </c>
      <c r="C186" s="26" t="inlineStr">
        <is>
          <t>إيرادات خدمات - فرع رئيسي</t>
        </is>
      </c>
      <c r="D186" s="26" t="inlineStr">
        <is>
          <t>إيرادات خدمات</t>
        </is>
      </c>
      <c r="E186" s="27" t="n"/>
      <c r="F186" s="27" t="n">
        <v>90520</v>
      </c>
    </row>
    <row r="187" ht="15" customHeight="1" s="24">
      <c r="A187" s="26" t="inlineStr">
        <is>
          <t>2026-08-25</t>
        </is>
      </c>
      <c r="B187" s="26" t="n">
        <v>8</v>
      </c>
      <c r="C187" s="26" t="inlineStr">
        <is>
          <t>إيرادات خدمات - فرع فرعي</t>
        </is>
      </c>
      <c r="D187" s="26" t="inlineStr">
        <is>
          <t>إيرادات خدمات</t>
        </is>
      </c>
      <c r="E187" s="27" t="n"/>
      <c r="F187" s="27" t="n">
        <v>55480</v>
      </c>
    </row>
    <row r="188" ht="15" customHeight="1" s="24">
      <c r="A188" s="26" t="inlineStr">
        <is>
          <t>2026-08-10</t>
        </is>
      </c>
      <c r="B188" s="26" t="n">
        <v>8</v>
      </c>
      <c r="C188" s="26" t="inlineStr">
        <is>
          <t>إيرادات أخرى - فرع رئيسي</t>
        </is>
      </c>
      <c r="D188" s="26" t="inlineStr">
        <is>
          <t>إيرادات أخرى</t>
        </is>
      </c>
      <c r="E188" s="27" t="n"/>
      <c r="F188" s="27" t="n">
        <v>4092</v>
      </c>
    </row>
    <row r="189" ht="15" customHeight="1" s="24">
      <c r="A189" s="26" t="inlineStr">
        <is>
          <t>2026-08-25</t>
        </is>
      </c>
      <c r="B189" s="26" t="n">
        <v>8</v>
      </c>
      <c r="C189" s="26" t="inlineStr">
        <is>
          <t>إيرادات أخرى - فرع فرعي</t>
        </is>
      </c>
      <c r="D189" s="26" t="inlineStr">
        <is>
          <t>إيرادات أخرى</t>
        </is>
      </c>
      <c r="E189" s="27" t="n"/>
      <c r="F189" s="27" t="n">
        <v>2508</v>
      </c>
    </row>
    <row r="190" ht="15" customHeight="1" s="24">
      <c r="A190" s="26" t="inlineStr">
        <is>
          <t>2026-08-10</t>
        </is>
      </c>
      <c r="B190" s="26" t="n">
        <v>8</v>
      </c>
      <c r="C190" s="26" t="inlineStr">
        <is>
          <t>مواد خام مباشرة - دفعة أولى</t>
        </is>
      </c>
      <c r="D190" s="26" t="inlineStr">
        <is>
          <t>مواد خام مباشرة</t>
        </is>
      </c>
      <c r="E190" s="27" t="n">
        <v>122388</v>
      </c>
      <c r="F190" s="27" t="n"/>
    </row>
    <row r="191" ht="15" customHeight="1" s="24">
      <c r="A191" s="26" t="inlineStr">
        <is>
          <t>2026-08-25</t>
        </is>
      </c>
      <c r="B191" s="26" t="n">
        <v>8</v>
      </c>
      <c r="C191" s="26" t="inlineStr">
        <is>
          <t>مواد خام مباشرة - دفعة ثانية</t>
        </is>
      </c>
      <c r="D191" s="26" t="inlineStr">
        <is>
          <t>مواد خام مباشرة</t>
        </is>
      </c>
      <c r="E191" s="27" t="n">
        <v>75012</v>
      </c>
      <c r="F191" s="27" t="n"/>
    </row>
    <row r="192" ht="15" customHeight="1" s="24">
      <c r="A192" s="26" t="inlineStr">
        <is>
          <t>2026-08-10</t>
        </is>
      </c>
      <c r="B192" s="26" t="n">
        <v>8</v>
      </c>
      <c r="C192" s="26" t="inlineStr">
        <is>
          <t>أجور مباشرة - دفعة أولى</t>
        </is>
      </c>
      <c r="D192" s="26" t="inlineStr">
        <is>
          <t>أجور مباشرة</t>
        </is>
      </c>
      <c r="E192" s="27" t="n">
        <v>52452</v>
      </c>
      <c r="F192" s="27" t="n"/>
    </row>
    <row r="193" ht="15" customHeight="1" s="24">
      <c r="A193" s="26" t="inlineStr">
        <is>
          <t>2026-08-25</t>
        </is>
      </c>
      <c r="B193" s="26" t="n">
        <v>8</v>
      </c>
      <c r="C193" s="26" t="inlineStr">
        <is>
          <t>أجور مباشرة - دفعة ثانية</t>
        </is>
      </c>
      <c r="D193" s="26" t="inlineStr">
        <is>
          <t>أجور مباشرة</t>
        </is>
      </c>
      <c r="E193" s="27" t="n">
        <v>32148</v>
      </c>
      <c r="F193" s="27" t="n"/>
    </row>
    <row r="194" ht="15" customHeight="1" s="24">
      <c r="A194" s="26" t="inlineStr">
        <is>
          <t>2026-08-10</t>
        </is>
      </c>
      <c r="B194" s="26" t="n">
        <v>8</v>
      </c>
      <c r="C194" s="26" t="inlineStr">
        <is>
          <t>تكاليف صناعية غير مباشرة - دفعة أولى</t>
        </is>
      </c>
      <c r="D194" s="26" t="inlineStr">
        <is>
          <t>تكاليف صناعية غير مباشرة</t>
        </is>
      </c>
      <c r="E194" s="27" t="n">
        <v>34968</v>
      </c>
      <c r="F194" s="27" t="n"/>
    </row>
    <row r="195" ht="15" customHeight="1" s="24">
      <c r="A195" s="26" t="inlineStr">
        <is>
          <t>2026-08-25</t>
        </is>
      </c>
      <c r="B195" s="26" t="n">
        <v>8</v>
      </c>
      <c r="C195" s="26" t="inlineStr">
        <is>
          <t>تكاليف صناعية غير مباشرة - دفعة ثانية</t>
        </is>
      </c>
      <c r="D195" s="26" t="inlineStr">
        <is>
          <t>تكاليف صناعية غير مباشرة</t>
        </is>
      </c>
      <c r="E195" s="27" t="n">
        <v>21432</v>
      </c>
      <c r="F195" s="27" t="n"/>
    </row>
    <row r="196" ht="15" customHeight="1" s="24">
      <c r="A196" s="26" t="inlineStr">
        <is>
          <t>2026-08-10</t>
        </is>
      </c>
      <c r="B196" s="26" t="n">
        <v>8</v>
      </c>
      <c r="C196" s="26" t="inlineStr">
        <is>
          <t>رواتب وأجور إدارية - دفعة أولى</t>
        </is>
      </c>
      <c r="D196" s="26" t="inlineStr">
        <is>
          <t>رواتب وأجور إدارية</t>
        </is>
      </c>
      <c r="E196" s="27" t="n">
        <v>60760</v>
      </c>
      <c r="F196" s="27" t="n"/>
    </row>
    <row r="197" ht="15" customHeight="1" s="24">
      <c r="A197" s="26" t="inlineStr">
        <is>
          <t>2026-08-25</t>
        </is>
      </c>
      <c r="B197" s="26" t="n">
        <v>8</v>
      </c>
      <c r="C197" s="26" t="inlineStr">
        <is>
          <t>رواتب وأجور إدارية - دفعة ثانية</t>
        </is>
      </c>
      <c r="D197" s="26" t="inlineStr">
        <is>
          <t>رواتب وأجور إدارية</t>
        </is>
      </c>
      <c r="E197" s="27" t="n">
        <v>37240</v>
      </c>
      <c r="F197" s="27" t="n"/>
    </row>
    <row r="198" ht="15" customHeight="1" s="24">
      <c r="A198" s="26" t="inlineStr">
        <is>
          <t>2026-08-01</t>
        </is>
      </c>
      <c r="B198" s="26" t="n">
        <v>8</v>
      </c>
      <c r="C198" s="26" t="inlineStr">
        <is>
          <t>قيد إيجار الشهري</t>
        </is>
      </c>
      <c r="D198" s="26" t="inlineStr">
        <is>
          <t>إيجار</t>
        </is>
      </c>
      <c r="E198" s="27" t="n">
        <v>30000</v>
      </c>
      <c r="F198" s="27" t="n"/>
    </row>
    <row r="199" ht="15" customHeight="1" s="24">
      <c r="A199" s="26" t="inlineStr">
        <is>
          <t>2026-08-10</t>
        </is>
      </c>
      <c r="B199" s="26" t="n">
        <v>8</v>
      </c>
      <c r="C199" s="26" t="inlineStr">
        <is>
          <t>تسويق وإعلان - دفعة أولى</t>
        </is>
      </c>
      <c r="D199" s="26" t="inlineStr">
        <is>
          <t>تسويق وإعلان</t>
        </is>
      </c>
      <c r="E199" s="27" t="n">
        <v>11780</v>
      </c>
      <c r="F199" s="27" t="n"/>
    </row>
    <row r="200" ht="15" customHeight="1" s="24">
      <c r="A200" s="26" t="inlineStr">
        <is>
          <t>2026-08-25</t>
        </is>
      </c>
      <c r="B200" s="26" t="n">
        <v>8</v>
      </c>
      <c r="C200" s="26" t="inlineStr">
        <is>
          <t>تسويق وإعلان - دفعة ثانية</t>
        </is>
      </c>
      <c r="D200" s="26" t="inlineStr">
        <is>
          <t>تسويق وإعلان</t>
        </is>
      </c>
      <c r="E200" s="27" t="n">
        <v>7220</v>
      </c>
      <c r="F200" s="27" t="n"/>
    </row>
    <row r="201" ht="15" customHeight="1" s="24">
      <c r="A201" s="26" t="inlineStr">
        <is>
          <t>2026-08-10</t>
        </is>
      </c>
      <c r="B201" s="26" t="n">
        <v>8</v>
      </c>
      <c r="C201" s="26" t="inlineStr">
        <is>
          <t>مرافق (كهرباء/مياه) - دفعة أولى</t>
        </is>
      </c>
      <c r="D201" s="26" t="inlineStr">
        <is>
          <t>مرافق (كهرباء/مياه)</t>
        </is>
      </c>
      <c r="E201" s="27" t="n">
        <v>5456</v>
      </c>
      <c r="F201" s="27" t="n"/>
    </row>
    <row r="202" ht="15" customHeight="1" s="24">
      <c r="A202" s="26" t="inlineStr">
        <is>
          <t>2026-08-25</t>
        </is>
      </c>
      <c r="B202" s="26" t="n">
        <v>8</v>
      </c>
      <c r="C202" s="26" t="inlineStr">
        <is>
          <t>مرافق (كهرباء/مياه) - دفعة ثانية</t>
        </is>
      </c>
      <c r="D202" s="26" t="inlineStr">
        <is>
          <t>مرافق (كهرباء/مياه)</t>
        </is>
      </c>
      <c r="E202" s="27" t="n">
        <v>3344</v>
      </c>
      <c r="F202" s="27" t="n"/>
    </row>
    <row r="203" ht="15" customHeight="1" s="24">
      <c r="A203" s="26" t="inlineStr">
        <is>
          <t>2026-08-10</t>
        </is>
      </c>
      <c r="B203" s="26" t="n">
        <v>8</v>
      </c>
      <c r="C203" s="26" t="inlineStr">
        <is>
          <t>صيانة - دفعة أولى</t>
        </is>
      </c>
      <c r="D203" s="26" t="inlineStr">
        <is>
          <t>صيانة</t>
        </is>
      </c>
      <c r="E203" s="27" t="n">
        <v>3596</v>
      </c>
      <c r="F203" s="27" t="n"/>
    </row>
    <row r="204" ht="15" customHeight="1" s="24">
      <c r="A204" s="26" t="inlineStr">
        <is>
          <t>2026-08-25</t>
        </is>
      </c>
      <c r="B204" s="26" t="n">
        <v>8</v>
      </c>
      <c r="C204" s="26" t="inlineStr">
        <is>
          <t>صيانة - دفعة ثانية</t>
        </is>
      </c>
      <c r="D204" s="26" t="inlineStr">
        <is>
          <t>صيانة</t>
        </is>
      </c>
      <c r="E204" s="27" t="n">
        <v>2204</v>
      </c>
      <c r="F204" s="27" t="n"/>
    </row>
    <row r="205" ht="15" customHeight="1" s="24">
      <c r="A205" s="26" t="inlineStr">
        <is>
          <t>2026-08-01</t>
        </is>
      </c>
      <c r="B205" s="26" t="n">
        <v>8</v>
      </c>
      <c r="C205" s="26" t="inlineStr">
        <is>
          <t>قيد تأمين الشهري</t>
        </is>
      </c>
      <c r="D205" s="26" t="inlineStr">
        <is>
          <t>تأمين</t>
        </is>
      </c>
      <c r="E205" s="27" t="n">
        <v>6000</v>
      </c>
      <c r="F205" s="27" t="n"/>
    </row>
    <row r="206" ht="15" customHeight="1" s="24">
      <c r="A206" s="26" t="inlineStr">
        <is>
          <t>2026-08-05</t>
        </is>
      </c>
      <c r="B206" s="26" t="n">
        <v>8</v>
      </c>
      <c r="C206" s="26" t="inlineStr">
        <is>
          <t>أتعاب استشارات محاسبية</t>
        </is>
      </c>
      <c r="D206" s="26" t="inlineStr">
        <is>
          <t>أتعاب مهنية</t>
        </is>
      </c>
      <c r="E206" s="27" t="n">
        <v>4000</v>
      </c>
      <c r="F206" s="27" t="n"/>
    </row>
    <row r="207" ht="15" customHeight="1" s="24">
      <c r="A207" s="26" t="inlineStr">
        <is>
          <t>2026-08-01</t>
        </is>
      </c>
      <c r="B207" s="26" t="n">
        <v>8</v>
      </c>
      <c r="C207" s="26" t="inlineStr">
        <is>
          <t>قيد إهلاك الشهري</t>
        </is>
      </c>
      <c r="D207" s="26" t="inlineStr">
        <is>
          <t>إهلاك</t>
        </is>
      </c>
      <c r="E207" s="27" t="n">
        <v>12000</v>
      </c>
      <c r="F207" s="27" t="n"/>
    </row>
    <row r="208" ht="15" customHeight="1" s="24">
      <c r="A208" s="26" t="inlineStr">
        <is>
          <t>2026-08-10</t>
        </is>
      </c>
      <c r="B208" s="26" t="n">
        <v>8</v>
      </c>
      <c r="C208" s="26" t="inlineStr">
        <is>
          <t>مصروفات متنوعة / غير مصنَّف - دفعة أولى</t>
        </is>
      </c>
      <c r="D208" s="26" t="inlineStr">
        <is>
          <t>مصروفات متنوعة / غير مصنَّف</t>
        </is>
      </c>
      <c r="E208" s="27" t="n">
        <v>2108</v>
      </c>
      <c r="F208" s="27" t="n"/>
    </row>
    <row r="209" ht="15" customHeight="1" s="24">
      <c r="A209" s="26" t="inlineStr">
        <is>
          <t>2026-08-25</t>
        </is>
      </c>
      <c r="B209" s="26" t="n">
        <v>8</v>
      </c>
      <c r="C209" s="26" t="inlineStr">
        <is>
          <t>مصروفات متنوعة / غير مصنَّف - دفعة ثانية</t>
        </is>
      </c>
      <c r="D209" s="26" t="inlineStr">
        <is>
          <t>مصروفات متنوعة / غير مصنَّف</t>
        </is>
      </c>
      <c r="E209" s="27" t="n">
        <v>1292</v>
      </c>
      <c r="F209" s="27" t="n"/>
    </row>
    <row r="210" ht="15" customHeight="1" s="24">
      <c r="A210" s="26" t="inlineStr">
        <is>
          <t>2026-09-10</t>
        </is>
      </c>
      <c r="B210" s="26" t="n">
        <v>9</v>
      </c>
      <c r="C210" s="26" t="inlineStr">
        <is>
          <t>مبيعات منتجات - فرع رئيسي</t>
        </is>
      </c>
      <c r="D210" s="26" t="inlineStr">
        <is>
          <t>مبيعات منتجات</t>
        </is>
      </c>
      <c r="E210" s="27" t="n"/>
      <c r="F210" s="27" t="n">
        <v>354640</v>
      </c>
    </row>
    <row r="211" ht="15" customHeight="1" s="24">
      <c r="A211" s="26" t="inlineStr">
        <is>
          <t>2026-09-25</t>
        </is>
      </c>
      <c r="B211" s="26" t="n">
        <v>9</v>
      </c>
      <c r="C211" s="26" t="inlineStr">
        <is>
          <t>مبيعات منتجات - فرع فرعي</t>
        </is>
      </c>
      <c r="D211" s="26" t="inlineStr">
        <is>
          <t>مبيعات منتجات</t>
        </is>
      </c>
      <c r="E211" s="27" t="n"/>
      <c r="F211" s="27" t="n">
        <v>217360</v>
      </c>
    </row>
    <row r="212" ht="15" customHeight="1" s="24">
      <c r="A212" s="26" t="inlineStr">
        <is>
          <t>2026-09-10</t>
        </is>
      </c>
      <c r="B212" s="26" t="n">
        <v>9</v>
      </c>
      <c r="C212" s="26" t="inlineStr">
        <is>
          <t>إيرادات خدمات - فرع رئيسي</t>
        </is>
      </c>
      <c r="D212" s="26" t="inlineStr">
        <is>
          <t>إيرادات خدمات</t>
        </is>
      </c>
      <c r="E212" s="27" t="n"/>
      <c r="F212" s="27" t="n">
        <v>91760</v>
      </c>
    </row>
    <row r="213" ht="15" customHeight="1" s="24">
      <c r="A213" s="26" t="inlineStr">
        <is>
          <t>2026-09-25</t>
        </is>
      </c>
      <c r="B213" s="26" t="n">
        <v>9</v>
      </c>
      <c r="C213" s="26" t="inlineStr">
        <is>
          <t>إيرادات خدمات - فرع فرعي</t>
        </is>
      </c>
      <c r="D213" s="26" t="inlineStr">
        <is>
          <t>إيرادات خدمات</t>
        </is>
      </c>
      <c r="E213" s="27" t="n"/>
      <c r="F213" s="27" t="n">
        <v>56240</v>
      </c>
    </row>
    <row r="214" ht="15" customHeight="1" s="24">
      <c r="A214" s="26" t="inlineStr">
        <is>
          <t>2026-09-10</t>
        </is>
      </c>
      <c r="B214" s="26" t="n">
        <v>9</v>
      </c>
      <c r="C214" s="26" t="inlineStr">
        <is>
          <t>إيرادات أخرى - فرع رئيسي</t>
        </is>
      </c>
      <c r="D214" s="26" t="inlineStr">
        <is>
          <t>إيرادات أخرى</t>
        </is>
      </c>
      <c r="E214" s="27" t="n"/>
      <c r="F214" s="27" t="n">
        <v>4216</v>
      </c>
    </row>
    <row r="215" ht="15" customHeight="1" s="24">
      <c r="A215" s="26" t="inlineStr">
        <is>
          <t>2026-09-25</t>
        </is>
      </c>
      <c r="B215" s="26" t="n">
        <v>9</v>
      </c>
      <c r="C215" s="26" t="inlineStr">
        <is>
          <t>إيرادات أخرى - فرع فرعي</t>
        </is>
      </c>
      <c r="D215" s="26" t="inlineStr">
        <is>
          <t>إيرادات أخرى</t>
        </is>
      </c>
      <c r="E215" s="27" t="n"/>
      <c r="F215" s="27" t="n">
        <v>2584</v>
      </c>
    </row>
    <row r="216" ht="15" customHeight="1" s="24">
      <c r="A216" s="26" t="inlineStr">
        <is>
          <t>2026-09-10</t>
        </is>
      </c>
      <c r="B216" s="26" t="n">
        <v>9</v>
      </c>
      <c r="C216" s="26" t="inlineStr">
        <is>
          <t>مواد خام مباشرة - دفعة أولى</t>
        </is>
      </c>
      <c r="D216" s="26" t="inlineStr">
        <is>
          <t>مواد خام مباشرة</t>
        </is>
      </c>
      <c r="E216" s="27" t="n">
        <v>124124</v>
      </c>
      <c r="F216" s="27" t="n"/>
    </row>
    <row r="217" ht="15" customHeight="1" s="24">
      <c r="A217" s="26" t="inlineStr">
        <is>
          <t>2026-09-25</t>
        </is>
      </c>
      <c r="B217" s="26" t="n">
        <v>9</v>
      </c>
      <c r="C217" s="26" t="inlineStr">
        <is>
          <t>مواد خام مباشرة - دفعة ثانية</t>
        </is>
      </c>
      <c r="D217" s="26" t="inlineStr">
        <is>
          <t>مواد خام مباشرة</t>
        </is>
      </c>
      <c r="E217" s="27" t="n">
        <v>76076</v>
      </c>
      <c r="F217" s="27" t="n"/>
    </row>
    <row r="218" ht="15" customHeight="1" s="24">
      <c r="A218" s="26" t="inlineStr">
        <is>
          <t>2026-09-10</t>
        </is>
      </c>
      <c r="B218" s="26" t="n">
        <v>9</v>
      </c>
      <c r="C218" s="26" t="inlineStr">
        <is>
          <t>أجور مباشرة - دفعة أولى</t>
        </is>
      </c>
      <c r="D218" s="26" t="inlineStr">
        <is>
          <t>أجور مباشرة</t>
        </is>
      </c>
      <c r="E218" s="27" t="n">
        <v>53196</v>
      </c>
      <c r="F218" s="27" t="n"/>
    </row>
    <row r="219" ht="15" customHeight="1" s="24">
      <c r="A219" s="26" t="inlineStr">
        <is>
          <t>2026-09-25</t>
        </is>
      </c>
      <c r="B219" s="26" t="n">
        <v>9</v>
      </c>
      <c r="C219" s="26" t="inlineStr">
        <is>
          <t>أجور مباشرة - دفعة ثانية</t>
        </is>
      </c>
      <c r="D219" s="26" t="inlineStr">
        <is>
          <t>أجور مباشرة</t>
        </is>
      </c>
      <c r="E219" s="27" t="n">
        <v>32604</v>
      </c>
      <c r="F219" s="27" t="n"/>
    </row>
    <row r="220" ht="15" customHeight="1" s="24">
      <c r="A220" s="26" t="inlineStr">
        <is>
          <t>2026-09-10</t>
        </is>
      </c>
      <c r="B220" s="26" t="n">
        <v>9</v>
      </c>
      <c r="C220" s="26" t="inlineStr">
        <is>
          <t>تكاليف صناعية غير مباشرة - دفعة أولى</t>
        </is>
      </c>
      <c r="D220" s="26" t="inlineStr">
        <is>
          <t>تكاليف صناعية غير مباشرة</t>
        </is>
      </c>
      <c r="E220" s="27" t="n">
        <v>35464</v>
      </c>
      <c r="F220" s="27" t="n"/>
    </row>
    <row r="221" ht="15" customHeight="1" s="24">
      <c r="A221" s="26" t="inlineStr">
        <is>
          <t>2026-09-25</t>
        </is>
      </c>
      <c r="B221" s="26" t="n">
        <v>9</v>
      </c>
      <c r="C221" s="26" t="inlineStr">
        <is>
          <t>تكاليف صناعية غير مباشرة - دفعة ثانية</t>
        </is>
      </c>
      <c r="D221" s="26" t="inlineStr">
        <is>
          <t>تكاليف صناعية غير مباشرة</t>
        </is>
      </c>
      <c r="E221" s="27" t="n">
        <v>21736</v>
      </c>
      <c r="F221" s="27" t="n"/>
    </row>
    <row r="222" ht="15" customHeight="1" s="24">
      <c r="A222" s="26" t="inlineStr">
        <is>
          <t>2026-09-10</t>
        </is>
      </c>
      <c r="B222" s="26" t="n">
        <v>9</v>
      </c>
      <c r="C222" s="26" t="inlineStr">
        <is>
          <t>رواتب وأجور إدارية - دفعة أولى</t>
        </is>
      </c>
      <c r="D222" s="26" t="inlineStr">
        <is>
          <t>رواتب وأجور إدارية</t>
        </is>
      </c>
      <c r="E222" s="27" t="n">
        <v>61380</v>
      </c>
      <c r="F222" s="27" t="n"/>
    </row>
    <row r="223" ht="15" customHeight="1" s="24">
      <c r="A223" s="26" t="inlineStr">
        <is>
          <t>2026-09-25</t>
        </is>
      </c>
      <c r="B223" s="26" t="n">
        <v>9</v>
      </c>
      <c r="C223" s="26" t="inlineStr">
        <is>
          <t>رواتب وأجور إدارية - دفعة ثانية</t>
        </is>
      </c>
      <c r="D223" s="26" t="inlineStr">
        <is>
          <t>رواتب وأجور إدارية</t>
        </is>
      </c>
      <c r="E223" s="27" t="n">
        <v>37620</v>
      </c>
      <c r="F223" s="27" t="n"/>
    </row>
    <row r="224" ht="15" customHeight="1" s="24">
      <c r="A224" s="26" t="inlineStr">
        <is>
          <t>2026-09-01</t>
        </is>
      </c>
      <c r="B224" s="26" t="n">
        <v>9</v>
      </c>
      <c r="C224" s="26" t="inlineStr">
        <is>
          <t>قيد إيجار الشهري</t>
        </is>
      </c>
      <c r="D224" s="26" t="inlineStr">
        <is>
          <t>إيجار</t>
        </is>
      </c>
      <c r="E224" s="27" t="n">
        <v>30000</v>
      </c>
      <c r="F224" s="27" t="n"/>
    </row>
    <row r="225" ht="15" customHeight="1" s="24">
      <c r="A225" s="26" t="inlineStr">
        <is>
          <t>2026-09-10</t>
        </is>
      </c>
      <c r="B225" s="26" t="n">
        <v>9</v>
      </c>
      <c r="C225" s="26" t="inlineStr">
        <is>
          <t>تسويق وإعلان - دفعة أولى</t>
        </is>
      </c>
      <c r="D225" s="26" t="inlineStr">
        <is>
          <t>تسويق وإعلان</t>
        </is>
      </c>
      <c r="E225" s="27" t="n">
        <v>12090</v>
      </c>
      <c r="F225" s="27" t="n"/>
    </row>
    <row r="226" ht="15" customHeight="1" s="24">
      <c r="A226" s="26" t="inlineStr">
        <is>
          <t>2026-09-25</t>
        </is>
      </c>
      <c r="B226" s="26" t="n">
        <v>9</v>
      </c>
      <c r="C226" s="26" t="inlineStr">
        <is>
          <t>تسويق وإعلان - دفعة ثانية</t>
        </is>
      </c>
      <c r="D226" s="26" t="inlineStr">
        <is>
          <t>تسويق وإعلان</t>
        </is>
      </c>
      <c r="E226" s="27" t="n">
        <v>7410</v>
      </c>
      <c r="F226" s="27" t="n"/>
    </row>
    <row r="227" ht="15" customHeight="1" s="24">
      <c r="A227" s="26" t="inlineStr">
        <is>
          <t>2026-09-10</t>
        </is>
      </c>
      <c r="B227" s="26" t="n">
        <v>9</v>
      </c>
      <c r="C227" s="26" t="inlineStr">
        <is>
          <t>مرافق (كهرباء/مياه) - دفعة أولى</t>
        </is>
      </c>
      <c r="D227" s="26" t="inlineStr">
        <is>
          <t>مرافق (كهرباء/مياه)</t>
        </is>
      </c>
      <c r="E227" s="27" t="n">
        <v>5518</v>
      </c>
      <c r="F227" s="27" t="n"/>
    </row>
    <row r="228" ht="15" customHeight="1" s="24">
      <c r="A228" s="26" t="inlineStr">
        <is>
          <t>2026-09-25</t>
        </is>
      </c>
      <c r="B228" s="26" t="n">
        <v>9</v>
      </c>
      <c r="C228" s="26" t="inlineStr">
        <is>
          <t>مرافق (كهرباء/مياه) - دفعة ثانية</t>
        </is>
      </c>
      <c r="D228" s="26" t="inlineStr">
        <is>
          <t>مرافق (كهرباء/مياه)</t>
        </is>
      </c>
      <c r="E228" s="27" t="n">
        <v>3382</v>
      </c>
      <c r="F228" s="27" t="n"/>
    </row>
    <row r="229" ht="15" customHeight="1" s="24">
      <c r="A229" s="26" t="inlineStr">
        <is>
          <t>2026-09-10</t>
        </is>
      </c>
      <c r="B229" s="26" t="n">
        <v>9</v>
      </c>
      <c r="C229" s="26" t="inlineStr">
        <is>
          <t>صيانة - دفعة أولى</t>
        </is>
      </c>
      <c r="D229" s="26" t="inlineStr">
        <is>
          <t>صيانة</t>
        </is>
      </c>
      <c r="E229" s="27" t="n">
        <v>3658</v>
      </c>
      <c r="F229" s="27" t="n"/>
    </row>
    <row r="230" ht="15" customHeight="1" s="24">
      <c r="A230" s="26" t="inlineStr">
        <is>
          <t>2026-09-25</t>
        </is>
      </c>
      <c r="B230" s="26" t="n">
        <v>9</v>
      </c>
      <c r="C230" s="26" t="inlineStr">
        <is>
          <t>صيانة - دفعة ثانية</t>
        </is>
      </c>
      <c r="D230" s="26" t="inlineStr">
        <is>
          <t>صيانة</t>
        </is>
      </c>
      <c r="E230" s="27" t="n">
        <v>2242</v>
      </c>
      <c r="F230" s="27" t="n"/>
    </row>
    <row r="231" ht="15" customHeight="1" s="24">
      <c r="A231" s="26" t="inlineStr">
        <is>
          <t>2026-09-01</t>
        </is>
      </c>
      <c r="B231" s="26" t="n">
        <v>9</v>
      </c>
      <c r="C231" s="26" t="inlineStr">
        <is>
          <t>قيد تأمين الشهري</t>
        </is>
      </c>
      <c r="D231" s="26" t="inlineStr">
        <is>
          <t>تأمين</t>
        </is>
      </c>
      <c r="E231" s="27" t="n">
        <v>6000</v>
      </c>
      <c r="F231" s="27" t="n"/>
    </row>
    <row r="232" ht="15" customHeight="1" s="24">
      <c r="A232" s="26" t="inlineStr">
        <is>
          <t>2026-09-05</t>
        </is>
      </c>
      <c r="B232" s="26" t="n">
        <v>9</v>
      </c>
      <c r="C232" s="26" t="inlineStr">
        <is>
          <t>أتعاب استشارات محاسبية</t>
        </is>
      </c>
      <c r="D232" s="26" t="inlineStr">
        <is>
          <t>أتعاب مهنية</t>
        </is>
      </c>
      <c r="E232" s="27" t="n">
        <v>4000</v>
      </c>
      <c r="F232" s="27" t="n"/>
    </row>
    <row r="233" ht="15" customHeight="1" s="24">
      <c r="A233" s="26" t="inlineStr">
        <is>
          <t>2026-09-01</t>
        </is>
      </c>
      <c r="B233" s="26" t="n">
        <v>9</v>
      </c>
      <c r="C233" s="26" t="inlineStr">
        <is>
          <t>قيد إهلاك الشهري</t>
        </is>
      </c>
      <c r="D233" s="26" t="inlineStr">
        <is>
          <t>إهلاك</t>
        </is>
      </c>
      <c r="E233" s="27" t="n">
        <v>12000</v>
      </c>
      <c r="F233" s="27" t="n"/>
    </row>
    <row r="234" ht="15" customHeight="1" s="24">
      <c r="A234" s="26" t="inlineStr">
        <is>
          <t>2026-09-10</t>
        </is>
      </c>
      <c r="B234" s="26" t="n">
        <v>9</v>
      </c>
      <c r="C234" s="26" t="inlineStr">
        <is>
          <t>مصروفات متنوعة / غير مصنَّف - دفعة أولى</t>
        </is>
      </c>
      <c r="D234" s="26" t="inlineStr">
        <is>
          <t>مصروفات متنوعة / غير مصنَّف</t>
        </is>
      </c>
      <c r="E234" s="27" t="n">
        <v>2139</v>
      </c>
      <c r="F234" s="27" t="n"/>
    </row>
    <row r="235" ht="15" customHeight="1" s="24">
      <c r="A235" s="26" t="inlineStr">
        <is>
          <t>2026-09-25</t>
        </is>
      </c>
      <c r="B235" s="26" t="n">
        <v>9</v>
      </c>
      <c r="C235" s="26" t="inlineStr">
        <is>
          <t>مصروفات متنوعة / غير مصنَّف - دفعة ثانية</t>
        </is>
      </c>
      <c r="D235" s="26" t="inlineStr">
        <is>
          <t>مصروفات متنوعة / غير مصنَّف</t>
        </is>
      </c>
      <c r="E235" s="27" t="n">
        <v>1311</v>
      </c>
      <c r="F235" s="27" t="n"/>
    </row>
    <row r="236" ht="15" customHeight="1" s="24">
      <c r="A236" s="26" t="inlineStr">
        <is>
          <t>2026-10-10</t>
        </is>
      </c>
      <c r="B236" s="26" t="n">
        <v>10</v>
      </c>
      <c r="C236" s="26" t="inlineStr">
        <is>
          <t>مبيعات منتجات - فرع رئيسي</t>
        </is>
      </c>
      <c r="D236" s="26" t="inlineStr">
        <is>
          <t>مبيعات منتجات</t>
        </is>
      </c>
      <c r="E236" s="27" t="n"/>
      <c r="F236" s="27" t="n">
        <v>359600</v>
      </c>
    </row>
    <row r="237" ht="15" customHeight="1" s="24">
      <c r="A237" s="26" t="inlineStr">
        <is>
          <t>2026-10-25</t>
        </is>
      </c>
      <c r="B237" s="26" t="n">
        <v>10</v>
      </c>
      <c r="C237" s="26" t="inlineStr">
        <is>
          <t>مبيعات منتجات - فرع فرعي</t>
        </is>
      </c>
      <c r="D237" s="26" t="inlineStr">
        <is>
          <t>مبيعات منتجات</t>
        </is>
      </c>
      <c r="E237" s="27" t="n"/>
      <c r="F237" s="27" t="n">
        <v>220400</v>
      </c>
    </row>
    <row r="238" ht="15" customHeight="1" s="24">
      <c r="A238" s="26" t="inlineStr">
        <is>
          <t>2026-10-10</t>
        </is>
      </c>
      <c r="B238" s="26" t="n">
        <v>10</v>
      </c>
      <c r="C238" s="26" t="inlineStr">
        <is>
          <t>إيرادات خدمات - فرع رئيسي</t>
        </is>
      </c>
      <c r="D238" s="26" t="inlineStr">
        <is>
          <t>إيرادات خدمات</t>
        </is>
      </c>
      <c r="E238" s="27" t="n"/>
      <c r="F238" s="27" t="n">
        <v>93000</v>
      </c>
    </row>
    <row r="239" ht="15" customHeight="1" s="24">
      <c r="A239" s="26" t="inlineStr">
        <is>
          <t>2026-10-25</t>
        </is>
      </c>
      <c r="B239" s="26" t="n">
        <v>10</v>
      </c>
      <c r="C239" s="26" t="inlineStr">
        <is>
          <t>إيرادات خدمات - فرع فرعي</t>
        </is>
      </c>
      <c r="D239" s="26" t="inlineStr">
        <is>
          <t>إيرادات خدمات</t>
        </is>
      </c>
      <c r="E239" s="27" t="n"/>
      <c r="F239" s="27" t="n">
        <v>57000</v>
      </c>
    </row>
    <row r="240" ht="15" customHeight="1" s="24">
      <c r="A240" s="26" t="inlineStr">
        <is>
          <t>2026-10-10</t>
        </is>
      </c>
      <c r="B240" s="26" t="n">
        <v>10</v>
      </c>
      <c r="C240" s="26" t="inlineStr">
        <is>
          <t>إيرادات أخرى - فرع رئيسي</t>
        </is>
      </c>
      <c r="D240" s="26" t="inlineStr">
        <is>
          <t>إيرادات أخرى</t>
        </is>
      </c>
      <c r="E240" s="27" t="n"/>
      <c r="F240" s="27" t="n">
        <v>4340</v>
      </c>
    </row>
    <row r="241" ht="15" customHeight="1" s="24">
      <c r="A241" s="26" t="inlineStr">
        <is>
          <t>2026-10-25</t>
        </is>
      </c>
      <c r="B241" s="26" t="n">
        <v>10</v>
      </c>
      <c r="C241" s="26" t="inlineStr">
        <is>
          <t>إيرادات أخرى - فرع فرعي</t>
        </is>
      </c>
      <c r="D241" s="26" t="inlineStr">
        <is>
          <t>إيرادات أخرى</t>
        </is>
      </c>
      <c r="E241" s="27" t="n"/>
      <c r="F241" s="27" t="n">
        <v>2660</v>
      </c>
    </row>
    <row r="242" ht="15" customHeight="1" s="24">
      <c r="A242" s="26" t="inlineStr">
        <is>
          <t>2026-10-10</t>
        </is>
      </c>
      <c r="B242" s="26" t="n">
        <v>10</v>
      </c>
      <c r="C242" s="26" t="inlineStr">
        <is>
          <t>مواد خام مباشرة - دفعة أولى</t>
        </is>
      </c>
      <c r="D242" s="26" t="inlineStr">
        <is>
          <t>مواد خام مباشرة</t>
        </is>
      </c>
      <c r="E242" s="27" t="n">
        <v>125860</v>
      </c>
      <c r="F242" s="27" t="n"/>
    </row>
    <row r="243" ht="15" customHeight="1" s="24">
      <c r="A243" s="26" t="inlineStr">
        <is>
          <t>2026-10-25</t>
        </is>
      </c>
      <c r="B243" s="26" t="n">
        <v>10</v>
      </c>
      <c r="C243" s="26" t="inlineStr">
        <is>
          <t>مواد خام مباشرة - دفعة ثانية</t>
        </is>
      </c>
      <c r="D243" s="26" t="inlineStr">
        <is>
          <t>مواد خام مباشرة</t>
        </is>
      </c>
      <c r="E243" s="27" t="n">
        <v>77140</v>
      </c>
      <c r="F243" s="27" t="n"/>
    </row>
    <row r="244" ht="15" customHeight="1" s="24">
      <c r="A244" s="26" t="inlineStr">
        <is>
          <t>2026-10-10</t>
        </is>
      </c>
      <c r="B244" s="26" t="n">
        <v>10</v>
      </c>
      <c r="C244" s="26" t="inlineStr">
        <is>
          <t>أجور مباشرة - دفعة أولى</t>
        </is>
      </c>
      <c r="D244" s="26" t="inlineStr">
        <is>
          <t>أجور مباشرة</t>
        </is>
      </c>
      <c r="E244" s="27" t="n">
        <v>53940</v>
      </c>
      <c r="F244" s="27" t="n"/>
    </row>
    <row r="245" ht="15" customHeight="1" s="24">
      <c r="A245" s="26" t="inlineStr">
        <is>
          <t>2026-10-25</t>
        </is>
      </c>
      <c r="B245" s="26" t="n">
        <v>10</v>
      </c>
      <c r="C245" s="26" t="inlineStr">
        <is>
          <t>أجور مباشرة - دفعة ثانية</t>
        </is>
      </c>
      <c r="D245" s="26" t="inlineStr">
        <is>
          <t>أجور مباشرة</t>
        </is>
      </c>
      <c r="E245" s="27" t="n">
        <v>33060</v>
      </c>
      <c r="F245" s="27" t="n"/>
    </row>
    <row r="246" ht="15" customHeight="1" s="24">
      <c r="A246" s="26" t="inlineStr">
        <is>
          <t>2026-10-10</t>
        </is>
      </c>
      <c r="B246" s="26" t="n">
        <v>10</v>
      </c>
      <c r="C246" s="26" t="inlineStr">
        <is>
          <t>تكاليف صناعية غير مباشرة - دفعة أولى</t>
        </is>
      </c>
      <c r="D246" s="26" t="inlineStr">
        <is>
          <t>تكاليف صناعية غير مباشرة</t>
        </is>
      </c>
      <c r="E246" s="27" t="n">
        <v>35960</v>
      </c>
      <c r="F246" s="27" t="n"/>
    </row>
    <row r="247" ht="15" customHeight="1" s="24">
      <c r="A247" s="26" t="inlineStr">
        <is>
          <t>2026-10-25</t>
        </is>
      </c>
      <c r="B247" s="26" t="n">
        <v>10</v>
      </c>
      <c r="C247" s="26" t="inlineStr">
        <is>
          <t>تكاليف صناعية غير مباشرة - دفعة ثانية</t>
        </is>
      </c>
      <c r="D247" s="26" t="inlineStr">
        <is>
          <t>تكاليف صناعية غير مباشرة</t>
        </is>
      </c>
      <c r="E247" s="27" t="n">
        <v>22040</v>
      </c>
      <c r="F247" s="27" t="n"/>
    </row>
    <row r="248" ht="15" customHeight="1" s="24">
      <c r="A248" s="26" t="inlineStr">
        <is>
          <t>2026-10-10</t>
        </is>
      </c>
      <c r="B248" s="26" t="n">
        <v>10</v>
      </c>
      <c r="C248" s="26" t="inlineStr">
        <is>
          <t>رواتب وأجور إدارية - دفعة أولى</t>
        </is>
      </c>
      <c r="D248" s="26" t="inlineStr">
        <is>
          <t>رواتب وأجور إدارية</t>
        </is>
      </c>
      <c r="E248" s="27" t="n">
        <v>62000</v>
      </c>
      <c r="F248" s="27" t="n"/>
    </row>
    <row r="249" ht="15" customHeight="1" s="24">
      <c r="A249" s="26" t="inlineStr">
        <is>
          <t>2026-10-25</t>
        </is>
      </c>
      <c r="B249" s="26" t="n">
        <v>10</v>
      </c>
      <c r="C249" s="26" t="inlineStr">
        <is>
          <t>رواتب وأجور إدارية - دفعة ثانية</t>
        </is>
      </c>
      <c r="D249" s="26" t="inlineStr">
        <is>
          <t>رواتب وأجور إدارية</t>
        </is>
      </c>
      <c r="E249" s="27" t="n">
        <v>38000</v>
      </c>
      <c r="F249" s="27" t="n"/>
    </row>
    <row r="250" ht="15" customHeight="1" s="24">
      <c r="A250" s="26" t="inlineStr">
        <is>
          <t>2026-10-01</t>
        </is>
      </c>
      <c r="B250" s="26" t="n">
        <v>10</v>
      </c>
      <c r="C250" s="26" t="inlineStr">
        <is>
          <t>قيد إيجار الشهري</t>
        </is>
      </c>
      <c r="D250" s="26" t="inlineStr">
        <is>
          <t>إيجار</t>
        </is>
      </c>
      <c r="E250" s="27" t="n">
        <v>30000</v>
      </c>
      <c r="F250" s="27" t="n"/>
    </row>
    <row r="251" ht="15" customHeight="1" s="24">
      <c r="A251" s="26" t="inlineStr">
        <is>
          <t>2026-10-10</t>
        </is>
      </c>
      <c r="B251" s="26" t="n">
        <v>10</v>
      </c>
      <c r="C251" s="26" t="inlineStr">
        <is>
          <t>تسويق وإعلان - دفعة أولى</t>
        </is>
      </c>
      <c r="D251" s="26" t="inlineStr">
        <is>
          <t>تسويق وإعلان</t>
        </is>
      </c>
      <c r="E251" s="27" t="n">
        <v>12400</v>
      </c>
      <c r="F251" s="27" t="n"/>
    </row>
    <row r="252" ht="15" customHeight="1" s="24">
      <c r="A252" s="26" t="inlineStr">
        <is>
          <t>2026-10-25</t>
        </is>
      </c>
      <c r="B252" s="26" t="n">
        <v>10</v>
      </c>
      <c r="C252" s="26" t="inlineStr">
        <is>
          <t>تسويق وإعلان - دفعة ثانية</t>
        </is>
      </c>
      <c r="D252" s="26" t="inlineStr">
        <is>
          <t>تسويق وإعلان</t>
        </is>
      </c>
      <c r="E252" s="27" t="n">
        <v>7600</v>
      </c>
      <c r="F252" s="27" t="n"/>
    </row>
    <row r="253" ht="15" customHeight="1" s="24">
      <c r="A253" s="26" t="inlineStr">
        <is>
          <t>2026-10-10</t>
        </is>
      </c>
      <c r="B253" s="26" t="n">
        <v>10</v>
      </c>
      <c r="C253" s="26" t="inlineStr">
        <is>
          <t>مرافق (كهرباء/مياه) - دفعة أولى</t>
        </is>
      </c>
      <c r="D253" s="26" t="inlineStr">
        <is>
          <t>مرافق (كهرباء/مياه)</t>
        </is>
      </c>
      <c r="E253" s="27" t="n">
        <v>5580</v>
      </c>
      <c r="F253" s="27" t="n"/>
    </row>
    <row r="254" ht="15" customHeight="1" s="24">
      <c r="A254" s="26" t="inlineStr">
        <is>
          <t>2026-10-25</t>
        </is>
      </c>
      <c r="B254" s="26" t="n">
        <v>10</v>
      </c>
      <c r="C254" s="26" t="inlineStr">
        <is>
          <t>مرافق (كهرباء/مياه) - دفعة ثانية</t>
        </is>
      </c>
      <c r="D254" s="26" t="inlineStr">
        <is>
          <t>مرافق (كهرباء/مياه)</t>
        </is>
      </c>
      <c r="E254" s="27" t="n">
        <v>3420</v>
      </c>
      <c r="F254" s="27" t="n"/>
    </row>
    <row r="255" ht="15" customHeight="1" s="24">
      <c r="A255" s="26" t="inlineStr">
        <is>
          <t>2026-10-10</t>
        </is>
      </c>
      <c r="B255" s="26" t="n">
        <v>10</v>
      </c>
      <c r="C255" s="26" t="inlineStr">
        <is>
          <t>صيانة - دفعة أولى</t>
        </is>
      </c>
      <c r="D255" s="26" t="inlineStr">
        <is>
          <t>صيانة</t>
        </is>
      </c>
      <c r="E255" s="27" t="n">
        <v>3720</v>
      </c>
      <c r="F255" s="27" t="n"/>
    </row>
    <row r="256" ht="15" customHeight="1" s="24">
      <c r="A256" s="26" t="inlineStr">
        <is>
          <t>2026-10-25</t>
        </is>
      </c>
      <c r="B256" s="26" t="n">
        <v>10</v>
      </c>
      <c r="C256" s="26" t="inlineStr">
        <is>
          <t>صيانة - دفعة ثانية</t>
        </is>
      </c>
      <c r="D256" s="26" t="inlineStr">
        <is>
          <t>صيانة</t>
        </is>
      </c>
      <c r="E256" s="27" t="n">
        <v>2280</v>
      </c>
      <c r="F256" s="27" t="n"/>
    </row>
    <row r="257" ht="15" customHeight="1" s="24">
      <c r="A257" s="26" t="inlineStr">
        <is>
          <t>2026-10-01</t>
        </is>
      </c>
      <c r="B257" s="26" t="n">
        <v>10</v>
      </c>
      <c r="C257" s="26" t="inlineStr">
        <is>
          <t>قيد تأمين الشهري</t>
        </is>
      </c>
      <c r="D257" s="26" t="inlineStr">
        <is>
          <t>تأمين</t>
        </is>
      </c>
      <c r="E257" s="27" t="n">
        <v>6000</v>
      </c>
      <c r="F257" s="27" t="n"/>
    </row>
    <row r="258" ht="15" customHeight="1" s="24">
      <c r="A258" s="26" t="inlineStr">
        <is>
          <t>2026-10-05</t>
        </is>
      </c>
      <c r="B258" s="26" t="n">
        <v>10</v>
      </c>
      <c r="C258" s="26" t="inlineStr">
        <is>
          <t>أتعاب استشارات محاسبية</t>
        </is>
      </c>
      <c r="D258" s="26" t="inlineStr">
        <is>
          <t>أتعاب مهنية</t>
        </is>
      </c>
      <c r="E258" s="27" t="n">
        <v>4000</v>
      </c>
      <c r="F258" s="27" t="n"/>
    </row>
    <row r="259" ht="15" customHeight="1" s="24">
      <c r="A259" s="26" t="inlineStr">
        <is>
          <t>2026-10-01</t>
        </is>
      </c>
      <c r="B259" s="26" t="n">
        <v>10</v>
      </c>
      <c r="C259" s="26" t="inlineStr">
        <is>
          <t>قيد إهلاك الشهري</t>
        </is>
      </c>
      <c r="D259" s="26" t="inlineStr">
        <is>
          <t>إهلاك</t>
        </is>
      </c>
      <c r="E259" s="27" t="n">
        <v>12000</v>
      </c>
      <c r="F259" s="27" t="n"/>
    </row>
    <row r="260" ht="15" customHeight="1" s="24">
      <c r="A260" s="26" t="inlineStr">
        <is>
          <t>2026-10-10</t>
        </is>
      </c>
      <c r="B260" s="26" t="n">
        <v>10</v>
      </c>
      <c r="C260" s="26" t="inlineStr">
        <is>
          <t>مصروفات متنوعة / غير مصنَّف - دفعة أولى</t>
        </is>
      </c>
      <c r="D260" s="26" t="inlineStr">
        <is>
          <t>مصروفات متنوعة / غير مصنَّف</t>
        </is>
      </c>
      <c r="E260" s="27" t="n">
        <v>2170</v>
      </c>
      <c r="F260" s="27" t="n"/>
    </row>
    <row r="261" ht="15" customHeight="1" s="24">
      <c r="A261" s="26" t="inlineStr">
        <is>
          <t>2026-10-25</t>
        </is>
      </c>
      <c r="B261" s="26" t="n">
        <v>10</v>
      </c>
      <c r="C261" s="26" t="inlineStr">
        <is>
          <t>مصروفات متنوعة / غير مصنَّف - دفعة ثانية</t>
        </is>
      </c>
      <c r="D261" s="26" t="inlineStr">
        <is>
          <t>مصروفات متنوعة / غير مصنَّف</t>
        </is>
      </c>
      <c r="E261" s="27" t="n">
        <v>1330</v>
      </c>
      <c r="F261" s="27" t="n"/>
    </row>
    <row r="262" ht="15" customHeight="1" s="24">
      <c r="A262" s="26" t="inlineStr">
        <is>
          <t>2026-11-10</t>
        </is>
      </c>
      <c r="B262" s="26" t="n">
        <v>11</v>
      </c>
      <c r="C262" s="26" t="inlineStr">
        <is>
          <t>مبيعات منتجات - فرع رئيسي</t>
        </is>
      </c>
      <c r="D262" s="26" t="inlineStr">
        <is>
          <t>مبيعات منتجات</t>
        </is>
      </c>
      <c r="E262" s="27" t="n"/>
      <c r="F262" s="27" t="n">
        <v>364560</v>
      </c>
    </row>
    <row r="263" ht="15" customHeight="1" s="24">
      <c r="A263" s="26" t="inlineStr">
        <is>
          <t>2026-11-25</t>
        </is>
      </c>
      <c r="B263" s="26" t="n">
        <v>11</v>
      </c>
      <c r="C263" s="26" t="inlineStr">
        <is>
          <t>مبيعات منتجات - فرع فرعي</t>
        </is>
      </c>
      <c r="D263" s="26" t="inlineStr">
        <is>
          <t>مبيعات منتجات</t>
        </is>
      </c>
      <c r="E263" s="27" t="n"/>
      <c r="F263" s="27" t="n">
        <v>223440</v>
      </c>
    </row>
    <row r="264" ht="15" customHeight="1" s="24">
      <c r="A264" s="26" t="inlineStr">
        <is>
          <t>2026-11-10</t>
        </is>
      </c>
      <c r="B264" s="26" t="n">
        <v>11</v>
      </c>
      <c r="C264" s="26" t="inlineStr">
        <is>
          <t>إيرادات خدمات - فرع رئيسي</t>
        </is>
      </c>
      <c r="D264" s="26" t="inlineStr">
        <is>
          <t>إيرادات خدمات</t>
        </is>
      </c>
      <c r="E264" s="27" t="n"/>
      <c r="F264" s="27" t="n">
        <v>94240</v>
      </c>
    </row>
    <row r="265" ht="15" customHeight="1" s="24">
      <c r="A265" s="26" t="inlineStr">
        <is>
          <t>2026-11-25</t>
        </is>
      </c>
      <c r="B265" s="26" t="n">
        <v>11</v>
      </c>
      <c r="C265" s="26" t="inlineStr">
        <is>
          <t>إيرادات خدمات - فرع فرعي</t>
        </is>
      </c>
      <c r="D265" s="26" t="inlineStr">
        <is>
          <t>إيرادات خدمات</t>
        </is>
      </c>
      <c r="E265" s="27" t="n"/>
      <c r="F265" s="27" t="n">
        <v>57760</v>
      </c>
    </row>
    <row r="266" ht="15" customHeight="1" s="24">
      <c r="A266" s="26" t="inlineStr">
        <is>
          <t>2026-11-10</t>
        </is>
      </c>
      <c r="B266" s="26" t="n">
        <v>11</v>
      </c>
      <c r="C266" s="26" t="inlineStr">
        <is>
          <t>إيرادات أخرى - فرع رئيسي</t>
        </is>
      </c>
      <c r="D266" s="26" t="inlineStr">
        <is>
          <t>إيرادات أخرى</t>
        </is>
      </c>
      <c r="E266" s="27" t="n"/>
      <c r="F266" s="27" t="n">
        <v>4464</v>
      </c>
    </row>
    <row r="267" ht="15" customHeight="1" s="24">
      <c r="A267" s="26" t="inlineStr">
        <is>
          <t>2026-11-25</t>
        </is>
      </c>
      <c r="B267" s="26" t="n">
        <v>11</v>
      </c>
      <c r="C267" s="26" t="inlineStr">
        <is>
          <t>إيرادات أخرى - فرع فرعي</t>
        </is>
      </c>
      <c r="D267" s="26" t="inlineStr">
        <is>
          <t>إيرادات أخرى</t>
        </is>
      </c>
      <c r="E267" s="27" t="n"/>
      <c r="F267" s="27" t="n">
        <v>2736</v>
      </c>
    </row>
    <row r="268" ht="15" customHeight="1" s="24">
      <c r="A268" s="26" t="inlineStr">
        <is>
          <t>2026-11-10</t>
        </is>
      </c>
      <c r="B268" s="26" t="n">
        <v>11</v>
      </c>
      <c r="C268" s="26" t="inlineStr">
        <is>
          <t>مواد خام مباشرة - دفعة أولى</t>
        </is>
      </c>
      <c r="D268" s="26" t="inlineStr">
        <is>
          <t>مواد خام مباشرة</t>
        </is>
      </c>
      <c r="E268" s="27" t="n">
        <v>127596</v>
      </c>
      <c r="F268" s="27" t="n"/>
    </row>
    <row r="269" ht="15" customHeight="1" s="24">
      <c r="A269" s="26" t="inlineStr">
        <is>
          <t>2026-11-25</t>
        </is>
      </c>
      <c r="B269" s="26" t="n">
        <v>11</v>
      </c>
      <c r="C269" s="26" t="inlineStr">
        <is>
          <t>مواد خام مباشرة - دفعة ثانية</t>
        </is>
      </c>
      <c r="D269" s="26" t="inlineStr">
        <is>
          <t>مواد خام مباشرة</t>
        </is>
      </c>
      <c r="E269" s="27" t="n">
        <v>78204</v>
      </c>
      <c r="F269" s="27" t="n"/>
    </row>
    <row r="270" ht="15" customHeight="1" s="24">
      <c r="A270" s="26" t="inlineStr">
        <is>
          <t>2026-11-10</t>
        </is>
      </c>
      <c r="B270" s="26" t="n">
        <v>11</v>
      </c>
      <c r="C270" s="26" t="inlineStr">
        <is>
          <t>أجور مباشرة - دفعة أولى</t>
        </is>
      </c>
      <c r="D270" s="26" t="inlineStr">
        <is>
          <t>أجور مباشرة</t>
        </is>
      </c>
      <c r="E270" s="27" t="n">
        <v>54684</v>
      </c>
      <c r="F270" s="27" t="n"/>
    </row>
    <row r="271" ht="15" customHeight="1" s="24">
      <c r="A271" s="26" t="inlineStr">
        <is>
          <t>2026-11-25</t>
        </is>
      </c>
      <c r="B271" s="26" t="n">
        <v>11</v>
      </c>
      <c r="C271" s="26" t="inlineStr">
        <is>
          <t>أجور مباشرة - دفعة ثانية</t>
        </is>
      </c>
      <c r="D271" s="26" t="inlineStr">
        <is>
          <t>أجور مباشرة</t>
        </is>
      </c>
      <c r="E271" s="27" t="n">
        <v>33516</v>
      </c>
      <c r="F271" s="27" t="n"/>
    </row>
    <row r="272" ht="15" customHeight="1" s="24">
      <c r="A272" s="26" t="inlineStr">
        <is>
          <t>2026-11-10</t>
        </is>
      </c>
      <c r="B272" s="26" t="n">
        <v>11</v>
      </c>
      <c r="C272" s="26" t="inlineStr">
        <is>
          <t>تكاليف صناعية غير مباشرة - دفعة أولى</t>
        </is>
      </c>
      <c r="D272" s="26" t="inlineStr">
        <is>
          <t>تكاليف صناعية غير مباشرة</t>
        </is>
      </c>
      <c r="E272" s="27" t="n">
        <v>36456</v>
      </c>
      <c r="F272" s="27" t="n"/>
    </row>
    <row r="273" ht="15" customHeight="1" s="24">
      <c r="A273" s="26" t="inlineStr">
        <is>
          <t>2026-11-25</t>
        </is>
      </c>
      <c r="B273" s="26" t="n">
        <v>11</v>
      </c>
      <c r="C273" s="26" t="inlineStr">
        <is>
          <t>تكاليف صناعية غير مباشرة - دفعة ثانية</t>
        </is>
      </c>
      <c r="D273" s="26" t="inlineStr">
        <is>
          <t>تكاليف صناعية غير مباشرة</t>
        </is>
      </c>
      <c r="E273" s="27" t="n">
        <v>22344</v>
      </c>
      <c r="F273" s="27" t="n"/>
    </row>
    <row r="274" ht="15" customHeight="1" s="24">
      <c r="A274" s="26" t="inlineStr">
        <is>
          <t>2026-11-10</t>
        </is>
      </c>
      <c r="B274" s="26" t="n">
        <v>11</v>
      </c>
      <c r="C274" s="26" t="inlineStr">
        <is>
          <t>رواتب وأجور إدارية - دفعة أولى</t>
        </is>
      </c>
      <c r="D274" s="26" t="inlineStr">
        <is>
          <t>رواتب وأجور إدارية</t>
        </is>
      </c>
      <c r="E274" s="27" t="n">
        <v>62620</v>
      </c>
      <c r="F274" s="27" t="n"/>
    </row>
    <row r="275" ht="15" customHeight="1" s="24">
      <c r="A275" s="26" t="inlineStr">
        <is>
          <t>2026-11-25</t>
        </is>
      </c>
      <c r="B275" s="26" t="n">
        <v>11</v>
      </c>
      <c r="C275" s="26" t="inlineStr">
        <is>
          <t>رواتب وأجور إدارية - دفعة ثانية</t>
        </is>
      </c>
      <c r="D275" s="26" t="inlineStr">
        <is>
          <t>رواتب وأجور إدارية</t>
        </is>
      </c>
      <c r="E275" s="27" t="n">
        <v>38380</v>
      </c>
      <c r="F275" s="27" t="n"/>
    </row>
    <row r="276" ht="15" customHeight="1" s="24">
      <c r="A276" s="26" t="inlineStr">
        <is>
          <t>2026-11-01</t>
        </is>
      </c>
      <c r="B276" s="26" t="n">
        <v>11</v>
      </c>
      <c r="C276" s="26" t="inlineStr">
        <is>
          <t>قيد إيجار الشهري</t>
        </is>
      </c>
      <c r="D276" s="26" t="inlineStr">
        <is>
          <t>إيجار</t>
        </is>
      </c>
      <c r="E276" s="27" t="n">
        <v>30000</v>
      </c>
      <c r="F276" s="27" t="n"/>
    </row>
    <row r="277" ht="15" customHeight="1" s="24">
      <c r="A277" s="26" t="inlineStr">
        <is>
          <t>2026-11-10</t>
        </is>
      </c>
      <c r="B277" s="26" t="n">
        <v>11</v>
      </c>
      <c r="C277" s="26" t="inlineStr">
        <is>
          <t>تسويق وإعلان - دفعة أولى</t>
        </is>
      </c>
      <c r="D277" s="26" t="inlineStr">
        <is>
          <t>تسويق وإعلان</t>
        </is>
      </c>
      <c r="E277" s="27" t="n">
        <v>12710</v>
      </c>
      <c r="F277" s="27" t="n"/>
    </row>
    <row r="278" ht="15" customHeight="1" s="24">
      <c r="A278" s="26" t="inlineStr">
        <is>
          <t>2026-11-25</t>
        </is>
      </c>
      <c r="B278" s="26" t="n">
        <v>11</v>
      </c>
      <c r="C278" s="26" t="inlineStr">
        <is>
          <t>تسويق وإعلان - دفعة ثانية</t>
        </is>
      </c>
      <c r="D278" s="26" t="inlineStr">
        <is>
          <t>تسويق وإعلان</t>
        </is>
      </c>
      <c r="E278" s="27" t="n">
        <v>7790</v>
      </c>
      <c r="F278" s="27" t="n"/>
    </row>
    <row r="279" ht="15" customHeight="1" s="24">
      <c r="A279" s="26" t="inlineStr">
        <is>
          <t>2026-11-10</t>
        </is>
      </c>
      <c r="B279" s="26" t="n">
        <v>11</v>
      </c>
      <c r="C279" s="26" t="inlineStr">
        <is>
          <t>مرافق (كهرباء/مياه) - دفعة أولى</t>
        </is>
      </c>
      <c r="D279" s="26" t="inlineStr">
        <is>
          <t>مرافق (كهرباء/مياه)</t>
        </is>
      </c>
      <c r="E279" s="27" t="n">
        <v>5642</v>
      </c>
      <c r="F279" s="27" t="n"/>
    </row>
    <row r="280" ht="15" customHeight="1" s="24">
      <c r="A280" s="26" t="inlineStr">
        <is>
          <t>2026-11-25</t>
        </is>
      </c>
      <c r="B280" s="26" t="n">
        <v>11</v>
      </c>
      <c r="C280" s="26" t="inlineStr">
        <is>
          <t>مرافق (كهرباء/مياه) - دفعة ثانية</t>
        </is>
      </c>
      <c r="D280" s="26" t="inlineStr">
        <is>
          <t>مرافق (كهرباء/مياه)</t>
        </is>
      </c>
      <c r="E280" s="27" t="n">
        <v>3458</v>
      </c>
      <c r="F280" s="27" t="n"/>
    </row>
    <row r="281" ht="15" customHeight="1" s="24">
      <c r="A281" s="26" t="inlineStr">
        <is>
          <t>2026-11-10</t>
        </is>
      </c>
      <c r="B281" s="26" t="n">
        <v>11</v>
      </c>
      <c r="C281" s="26" t="inlineStr">
        <is>
          <t>صيانة - دفعة أولى</t>
        </is>
      </c>
      <c r="D281" s="26" t="inlineStr">
        <is>
          <t>صيانة</t>
        </is>
      </c>
      <c r="E281" s="27" t="n">
        <v>3782</v>
      </c>
      <c r="F281" s="27" t="n"/>
    </row>
    <row r="282" ht="15" customHeight="1" s="24">
      <c r="A282" s="26" t="inlineStr">
        <is>
          <t>2026-11-25</t>
        </is>
      </c>
      <c r="B282" s="26" t="n">
        <v>11</v>
      </c>
      <c r="C282" s="26" t="inlineStr">
        <is>
          <t>صيانة - دفعة ثانية</t>
        </is>
      </c>
      <c r="D282" s="26" t="inlineStr">
        <is>
          <t>صيانة</t>
        </is>
      </c>
      <c r="E282" s="27" t="n">
        <v>2318</v>
      </c>
      <c r="F282" s="27" t="n"/>
    </row>
    <row r="283" ht="15" customHeight="1" s="24">
      <c r="A283" s="26" t="inlineStr">
        <is>
          <t>2026-11-01</t>
        </is>
      </c>
      <c r="B283" s="26" t="n">
        <v>11</v>
      </c>
      <c r="C283" s="26" t="inlineStr">
        <is>
          <t>قيد تأمين الشهري</t>
        </is>
      </c>
      <c r="D283" s="26" t="inlineStr">
        <is>
          <t>تأمين</t>
        </is>
      </c>
      <c r="E283" s="27" t="n">
        <v>6000</v>
      </c>
      <c r="F283" s="27" t="n"/>
    </row>
    <row r="284" ht="15" customHeight="1" s="24">
      <c r="A284" s="26" t="inlineStr">
        <is>
          <t>2026-11-05</t>
        </is>
      </c>
      <c r="B284" s="26" t="n">
        <v>11</v>
      </c>
      <c r="C284" s="26" t="inlineStr">
        <is>
          <t>أتعاب استشارات محاسبية</t>
        </is>
      </c>
      <c r="D284" s="26" t="inlineStr">
        <is>
          <t>أتعاب مهنية</t>
        </is>
      </c>
      <c r="E284" s="27" t="n">
        <v>4000</v>
      </c>
      <c r="F284" s="27" t="n"/>
    </row>
    <row r="285" ht="15" customHeight="1" s="24">
      <c r="A285" s="26" t="inlineStr">
        <is>
          <t>2026-11-01</t>
        </is>
      </c>
      <c r="B285" s="26" t="n">
        <v>11</v>
      </c>
      <c r="C285" s="26" t="inlineStr">
        <is>
          <t>قيد إهلاك الشهري</t>
        </is>
      </c>
      <c r="D285" s="26" t="inlineStr">
        <is>
          <t>إهلاك</t>
        </is>
      </c>
      <c r="E285" s="27" t="n">
        <v>12000</v>
      </c>
      <c r="F285" s="27" t="n"/>
    </row>
    <row r="286" ht="15" customHeight="1" s="24">
      <c r="A286" s="26" t="inlineStr">
        <is>
          <t>2026-11-10</t>
        </is>
      </c>
      <c r="B286" s="26" t="n">
        <v>11</v>
      </c>
      <c r="C286" s="26" t="inlineStr">
        <is>
          <t>مصروفات متنوعة / غير مصنَّف - دفعة أولى</t>
        </is>
      </c>
      <c r="D286" s="26" t="inlineStr">
        <is>
          <t>مصروفات متنوعة / غير مصنَّف</t>
        </is>
      </c>
      <c r="E286" s="27" t="n">
        <v>2201</v>
      </c>
      <c r="F286" s="27" t="n"/>
    </row>
    <row r="287" ht="15" customHeight="1" s="24">
      <c r="A287" s="26" t="inlineStr">
        <is>
          <t>2026-11-25</t>
        </is>
      </c>
      <c r="B287" s="26" t="n">
        <v>11</v>
      </c>
      <c r="C287" s="26" t="inlineStr">
        <is>
          <t>مصروفات متنوعة / غير مصنَّف - دفعة ثانية</t>
        </is>
      </c>
      <c r="D287" s="26" t="inlineStr">
        <is>
          <t>مصروفات متنوعة / غير مصنَّف</t>
        </is>
      </c>
      <c r="E287" s="27" t="n">
        <v>1349</v>
      </c>
      <c r="F287" s="27" t="n"/>
    </row>
    <row r="288" ht="15" customHeight="1" s="24">
      <c r="A288" s="26" t="inlineStr">
        <is>
          <t>2026-12-10</t>
        </is>
      </c>
      <c r="B288" s="26" t="n">
        <v>12</v>
      </c>
      <c r="C288" s="26" t="inlineStr">
        <is>
          <t>مبيعات منتجات - فرع رئيسي</t>
        </is>
      </c>
      <c r="D288" s="26" t="inlineStr">
        <is>
          <t>مبيعات منتجات</t>
        </is>
      </c>
      <c r="E288" s="27" t="n"/>
      <c r="F288" s="27" t="n">
        <v>369520</v>
      </c>
    </row>
    <row r="289" ht="15" customHeight="1" s="24">
      <c r="A289" s="26" t="inlineStr">
        <is>
          <t>2026-12-25</t>
        </is>
      </c>
      <c r="B289" s="26" t="n">
        <v>12</v>
      </c>
      <c r="C289" s="26" t="inlineStr">
        <is>
          <t>مبيعات منتجات - فرع فرعي</t>
        </is>
      </c>
      <c r="D289" s="26" t="inlineStr">
        <is>
          <t>مبيعات منتجات</t>
        </is>
      </c>
      <c r="E289" s="27" t="n"/>
      <c r="F289" s="27" t="n">
        <v>226480</v>
      </c>
    </row>
    <row r="290" ht="15" customHeight="1" s="24">
      <c r="A290" s="26" t="inlineStr">
        <is>
          <t>2026-12-10</t>
        </is>
      </c>
      <c r="B290" s="26" t="n">
        <v>12</v>
      </c>
      <c r="C290" s="26" t="inlineStr">
        <is>
          <t>إيرادات خدمات - فرع رئيسي</t>
        </is>
      </c>
      <c r="D290" s="26" t="inlineStr">
        <is>
          <t>إيرادات خدمات</t>
        </is>
      </c>
      <c r="E290" s="27" t="n"/>
      <c r="F290" s="27" t="n">
        <v>95480</v>
      </c>
    </row>
    <row r="291" ht="15" customHeight="1" s="24">
      <c r="A291" s="26" t="inlineStr">
        <is>
          <t>2026-12-25</t>
        </is>
      </c>
      <c r="B291" s="26" t="n">
        <v>12</v>
      </c>
      <c r="C291" s="26" t="inlineStr">
        <is>
          <t>إيرادات خدمات - فرع فرعي</t>
        </is>
      </c>
      <c r="D291" s="26" t="inlineStr">
        <is>
          <t>إيرادات خدمات</t>
        </is>
      </c>
      <c r="E291" s="27" t="n"/>
      <c r="F291" s="27" t="n">
        <v>58520</v>
      </c>
    </row>
    <row r="292" ht="15" customHeight="1" s="24">
      <c r="A292" s="26" t="inlineStr">
        <is>
          <t>2026-12-10</t>
        </is>
      </c>
      <c r="B292" s="26" t="n">
        <v>12</v>
      </c>
      <c r="C292" s="26" t="inlineStr">
        <is>
          <t>إيرادات أخرى - فرع رئيسي</t>
        </is>
      </c>
      <c r="D292" s="26" t="inlineStr">
        <is>
          <t>إيرادات أخرى</t>
        </is>
      </c>
      <c r="E292" s="27" t="n"/>
      <c r="F292" s="27" t="n">
        <v>4588</v>
      </c>
    </row>
    <row r="293" ht="15" customHeight="1" s="24">
      <c r="A293" s="26" t="inlineStr">
        <is>
          <t>2026-12-25</t>
        </is>
      </c>
      <c r="B293" s="26" t="n">
        <v>12</v>
      </c>
      <c r="C293" s="26" t="inlineStr">
        <is>
          <t>إيرادات أخرى - فرع فرعي</t>
        </is>
      </c>
      <c r="D293" s="26" t="inlineStr">
        <is>
          <t>إيرادات أخرى</t>
        </is>
      </c>
      <c r="E293" s="27" t="n"/>
      <c r="F293" s="27" t="n">
        <v>2812</v>
      </c>
    </row>
    <row r="294" ht="15" customHeight="1" s="24">
      <c r="A294" s="26" t="inlineStr">
        <is>
          <t>2026-12-10</t>
        </is>
      </c>
      <c r="B294" s="26" t="n">
        <v>12</v>
      </c>
      <c r="C294" s="26" t="inlineStr">
        <is>
          <t>مواد خام مباشرة - دفعة أولى</t>
        </is>
      </c>
      <c r="D294" s="26" t="inlineStr">
        <is>
          <t>مواد خام مباشرة</t>
        </is>
      </c>
      <c r="E294" s="27" t="n">
        <v>129332</v>
      </c>
      <c r="F294" s="27" t="n"/>
    </row>
    <row r="295" ht="15" customHeight="1" s="24">
      <c r="A295" s="26" t="inlineStr">
        <is>
          <t>2026-12-25</t>
        </is>
      </c>
      <c r="B295" s="26" t="n">
        <v>12</v>
      </c>
      <c r="C295" s="26" t="inlineStr">
        <is>
          <t>مواد خام مباشرة - دفعة ثانية</t>
        </is>
      </c>
      <c r="D295" s="26" t="inlineStr">
        <is>
          <t>مواد خام مباشرة</t>
        </is>
      </c>
      <c r="E295" s="27" t="n">
        <v>79268</v>
      </c>
      <c r="F295" s="27" t="n"/>
    </row>
    <row r="296" ht="15" customHeight="1" s="24">
      <c r="A296" s="26" t="inlineStr">
        <is>
          <t>2026-12-10</t>
        </is>
      </c>
      <c r="B296" s="26" t="n">
        <v>12</v>
      </c>
      <c r="C296" s="26" t="inlineStr">
        <is>
          <t>أجور مباشرة - دفعة أولى</t>
        </is>
      </c>
      <c r="D296" s="26" t="inlineStr">
        <is>
          <t>أجور مباشرة</t>
        </is>
      </c>
      <c r="E296" s="27" t="n">
        <v>55428</v>
      </c>
      <c r="F296" s="27" t="n"/>
    </row>
    <row r="297" ht="15" customHeight="1" s="24">
      <c r="A297" s="26" t="inlineStr">
        <is>
          <t>2026-12-25</t>
        </is>
      </c>
      <c r="B297" s="26" t="n">
        <v>12</v>
      </c>
      <c r="C297" s="26" t="inlineStr">
        <is>
          <t>أجور مباشرة - دفعة ثانية</t>
        </is>
      </c>
      <c r="D297" s="26" t="inlineStr">
        <is>
          <t>أجور مباشرة</t>
        </is>
      </c>
      <c r="E297" s="27" t="n">
        <v>33972</v>
      </c>
      <c r="F297" s="27" t="n"/>
    </row>
    <row r="298" ht="15" customHeight="1" s="24">
      <c r="A298" s="26" t="inlineStr">
        <is>
          <t>2026-12-10</t>
        </is>
      </c>
      <c r="B298" s="26" t="n">
        <v>12</v>
      </c>
      <c r="C298" s="26" t="inlineStr">
        <is>
          <t>تكاليف صناعية غير مباشرة - دفعة أولى</t>
        </is>
      </c>
      <c r="D298" s="26" t="inlineStr">
        <is>
          <t>تكاليف صناعية غير مباشرة</t>
        </is>
      </c>
      <c r="E298" s="27" t="n">
        <v>36952</v>
      </c>
      <c r="F298" s="27" t="n"/>
    </row>
    <row r="299" ht="15" customHeight="1" s="24">
      <c r="A299" s="26" t="inlineStr">
        <is>
          <t>2026-12-25</t>
        </is>
      </c>
      <c r="B299" s="26" t="n">
        <v>12</v>
      </c>
      <c r="C299" s="26" t="inlineStr">
        <is>
          <t>تكاليف صناعية غير مباشرة - دفعة ثانية</t>
        </is>
      </c>
      <c r="D299" s="26" t="inlineStr">
        <is>
          <t>تكاليف صناعية غير مباشرة</t>
        </is>
      </c>
      <c r="E299" s="27" t="n">
        <v>22648</v>
      </c>
      <c r="F299" s="27" t="n"/>
    </row>
    <row r="300" ht="15" customHeight="1" s="24">
      <c r="A300" s="26" t="inlineStr">
        <is>
          <t>2026-12-10</t>
        </is>
      </c>
      <c r="B300" s="26" t="n">
        <v>12</v>
      </c>
      <c r="C300" s="26" t="inlineStr">
        <is>
          <t>رواتب وأجور إدارية - دفعة أولى</t>
        </is>
      </c>
      <c r="D300" s="26" t="inlineStr">
        <is>
          <t>رواتب وأجور إدارية</t>
        </is>
      </c>
      <c r="E300" s="27" t="n">
        <v>63240</v>
      </c>
      <c r="F300" s="27" t="n"/>
    </row>
    <row r="301" ht="15" customHeight="1" s="24">
      <c r="A301" s="26" t="inlineStr">
        <is>
          <t>2026-12-25</t>
        </is>
      </c>
      <c r="B301" s="26" t="n">
        <v>12</v>
      </c>
      <c r="C301" s="26" t="inlineStr">
        <is>
          <t>رواتب وأجور إدارية - دفعة ثانية</t>
        </is>
      </c>
      <c r="D301" s="26" t="inlineStr">
        <is>
          <t>رواتب وأجور إدارية</t>
        </is>
      </c>
      <c r="E301" s="27" t="n">
        <v>38760</v>
      </c>
      <c r="F301" s="27" t="n"/>
    </row>
    <row r="302" ht="15" customHeight="1" s="24">
      <c r="A302" s="26" t="inlineStr">
        <is>
          <t>2026-12-01</t>
        </is>
      </c>
      <c r="B302" s="26" t="n">
        <v>12</v>
      </c>
      <c r="C302" s="26" t="inlineStr">
        <is>
          <t>قيد إيجار الشهري</t>
        </is>
      </c>
      <c r="D302" s="26" t="inlineStr">
        <is>
          <t>إيجار</t>
        </is>
      </c>
      <c r="E302" s="27" t="n">
        <v>30000</v>
      </c>
      <c r="F302" s="27" t="n"/>
    </row>
    <row r="303" ht="15" customHeight="1" s="24">
      <c r="A303" s="26" t="inlineStr">
        <is>
          <t>2026-12-10</t>
        </is>
      </c>
      <c r="B303" s="26" t="n">
        <v>12</v>
      </c>
      <c r="C303" s="26" t="inlineStr">
        <is>
          <t>تسويق وإعلان - دفعة أولى</t>
        </is>
      </c>
      <c r="D303" s="26" t="inlineStr">
        <is>
          <t>تسويق وإعلان</t>
        </is>
      </c>
      <c r="E303" s="27" t="n">
        <v>13020</v>
      </c>
      <c r="F303" s="27" t="n"/>
    </row>
    <row r="304" ht="15" customHeight="1" s="24">
      <c r="A304" s="26" t="inlineStr">
        <is>
          <t>2026-12-25</t>
        </is>
      </c>
      <c r="B304" s="26" t="n">
        <v>12</v>
      </c>
      <c r="C304" s="26" t="inlineStr">
        <is>
          <t>تسويق وإعلان - دفعة ثانية</t>
        </is>
      </c>
      <c r="D304" s="26" t="inlineStr">
        <is>
          <t>تسويق وإعلان</t>
        </is>
      </c>
      <c r="E304" s="27" t="n">
        <v>7980</v>
      </c>
      <c r="F304" s="27" t="n"/>
    </row>
    <row r="305" ht="15" customHeight="1" s="24">
      <c r="A305" s="26" t="inlineStr">
        <is>
          <t>2026-12-10</t>
        </is>
      </c>
      <c r="B305" s="26" t="n">
        <v>12</v>
      </c>
      <c r="C305" s="26" t="inlineStr">
        <is>
          <t>مرافق (كهرباء/مياه) - دفعة أولى</t>
        </is>
      </c>
      <c r="D305" s="26" t="inlineStr">
        <is>
          <t>مرافق (كهرباء/مياه)</t>
        </is>
      </c>
      <c r="E305" s="27" t="n">
        <v>5704</v>
      </c>
      <c r="F305" s="27" t="n"/>
    </row>
    <row r="306" ht="15" customHeight="1" s="24">
      <c r="A306" s="26" t="inlineStr">
        <is>
          <t>2026-12-25</t>
        </is>
      </c>
      <c r="B306" s="26" t="n">
        <v>12</v>
      </c>
      <c r="C306" s="26" t="inlineStr">
        <is>
          <t>مرافق (كهرباء/مياه) - دفعة ثانية</t>
        </is>
      </c>
      <c r="D306" s="26" t="inlineStr">
        <is>
          <t>مرافق (كهرباء/مياه)</t>
        </is>
      </c>
      <c r="E306" s="27" t="n">
        <v>3496</v>
      </c>
      <c r="F306" s="27" t="n"/>
    </row>
    <row r="307" ht="15" customHeight="1" s="24">
      <c r="A307" s="26" t="inlineStr">
        <is>
          <t>2026-12-10</t>
        </is>
      </c>
      <c r="B307" s="26" t="n">
        <v>12</v>
      </c>
      <c r="C307" s="26" t="inlineStr">
        <is>
          <t>صيانة - دفعة أولى</t>
        </is>
      </c>
      <c r="D307" s="26" t="inlineStr">
        <is>
          <t>صيانة</t>
        </is>
      </c>
      <c r="E307" s="27" t="n">
        <v>3844</v>
      </c>
      <c r="F307" s="27" t="n"/>
    </row>
    <row r="308" ht="15" customHeight="1" s="24">
      <c r="A308" s="26" t="inlineStr">
        <is>
          <t>2026-12-25</t>
        </is>
      </c>
      <c r="B308" s="26" t="n">
        <v>12</v>
      </c>
      <c r="C308" s="26" t="inlineStr">
        <is>
          <t>صيانة - دفعة ثانية</t>
        </is>
      </c>
      <c r="D308" s="26" t="inlineStr">
        <is>
          <t>صيانة</t>
        </is>
      </c>
      <c r="E308" s="27" t="n">
        <v>2356</v>
      </c>
      <c r="F308" s="27" t="n"/>
    </row>
    <row r="309" ht="15" customHeight="1" s="24">
      <c r="A309" s="26" t="inlineStr">
        <is>
          <t>2026-12-01</t>
        </is>
      </c>
      <c r="B309" s="26" t="n">
        <v>12</v>
      </c>
      <c r="C309" s="26" t="inlineStr">
        <is>
          <t>قيد تأمين الشهري</t>
        </is>
      </c>
      <c r="D309" s="26" t="inlineStr">
        <is>
          <t>تأمين</t>
        </is>
      </c>
      <c r="E309" s="27" t="n">
        <v>6000</v>
      </c>
      <c r="F309" s="27" t="n"/>
    </row>
    <row r="310" ht="15" customHeight="1" s="24">
      <c r="A310" s="26" t="inlineStr">
        <is>
          <t>2026-12-05</t>
        </is>
      </c>
      <c r="B310" s="26" t="n">
        <v>12</v>
      </c>
      <c r="C310" s="26" t="inlineStr">
        <is>
          <t>أتعاب استشارات محاسبية</t>
        </is>
      </c>
      <c r="D310" s="26" t="inlineStr">
        <is>
          <t>أتعاب مهنية</t>
        </is>
      </c>
      <c r="E310" s="27" t="n">
        <v>4000</v>
      </c>
      <c r="F310" s="27" t="n"/>
    </row>
    <row r="311" ht="15" customHeight="1" s="24">
      <c r="A311" s="26" t="inlineStr">
        <is>
          <t>2026-12-01</t>
        </is>
      </c>
      <c r="B311" s="26" t="n">
        <v>12</v>
      </c>
      <c r="C311" s="26" t="inlineStr">
        <is>
          <t>قيد إهلاك الشهري</t>
        </is>
      </c>
      <c r="D311" s="26" t="inlineStr">
        <is>
          <t>إهلاك</t>
        </is>
      </c>
      <c r="E311" s="27" t="n">
        <v>12000</v>
      </c>
      <c r="F311" s="27" t="n"/>
    </row>
    <row r="312" ht="15" customHeight="1" s="24">
      <c r="A312" s="26" t="inlineStr">
        <is>
          <t>2026-12-10</t>
        </is>
      </c>
      <c r="B312" s="26" t="n">
        <v>12</v>
      </c>
      <c r="C312" s="26" t="inlineStr">
        <is>
          <t>مصروفات متنوعة / غير مصنَّف - دفعة أولى</t>
        </is>
      </c>
      <c r="D312" s="26" t="inlineStr">
        <is>
          <t>مصروفات متنوعة / غير مصنَّف</t>
        </is>
      </c>
      <c r="E312" s="27" t="n">
        <v>2232</v>
      </c>
      <c r="F312" s="27" t="n"/>
    </row>
    <row r="313" ht="15" customHeight="1" s="24">
      <c r="A313" s="26" t="inlineStr">
        <is>
          <t>2026-12-25</t>
        </is>
      </c>
      <c r="B313" s="26" t="n">
        <v>12</v>
      </c>
      <c r="C313" s="26" t="inlineStr">
        <is>
          <t>مصروفات متنوعة / غير مصنَّف - دفعة ثانية</t>
        </is>
      </c>
      <c r="D313" s="26" t="inlineStr">
        <is>
          <t>مصروفات متنوعة / غير مصنَّف</t>
        </is>
      </c>
      <c r="E313" s="27" t="n">
        <v>1368</v>
      </c>
      <c r="F313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O3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3" min="2" max="2"/>
    <col width="11" customWidth="1" style="23" min="3" max="14"/>
    <col width="15" customWidth="1" style="23" min="15" max="15"/>
  </cols>
  <sheetData>
    <row r="1" ht="15" customHeight="1" s="24">
      <c r="B1" s="28" t="inlineStr">
        <is>
          <t>شركة النور للصناعات المتكاملة — قائمة الدخل (يناير–ديسمبر 2026) — ج.م</t>
        </is>
      </c>
    </row>
    <row r="3" ht="15" customHeight="1" s="24">
      <c r="B3" s="29" t="inlineStr">
        <is>
          <t>بيانات مولَّدة بالكامل بالذكاء الاصطناعي (Claude) لأغراض اختبار برومبت تحليل مالي — ليست بيانات شركة حقيقية.</t>
        </is>
      </c>
      <c r="C3" s="25" t="inlineStr">
        <is>
          <t>يناير</t>
        </is>
      </c>
      <c r="D3" s="25" t="inlineStr">
        <is>
          <t>فبراير</t>
        </is>
      </c>
      <c r="E3" s="25" t="inlineStr">
        <is>
          <t>مارس</t>
        </is>
      </c>
      <c r="F3" s="25" t="inlineStr">
        <is>
          <t>أبريل</t>
        </is>
      </c>
      <c r="G3" s="25" t="inlineStr">
        <is>
          <t>مايو</t>
        </is>
      </c>
      <c r="H3" s="25" t="inlineStr">
        <is>
          <t>يونيو</t>
        </is>
      </c>
      <c r="I3" s="25" t="inlineStr">
        <is>
          <t>يوليو</t>
        </is>
      </c>
      <c r="J3" s="25" t="inlineStr">
        <is>
          <t>أغسطس</t>
        </is>
      </c>
      <c r="K3" s="25" t="inlineStr">
        <is>
          <t>سبتمبر</t>
        </is>
      </c>
      <c r="L3" s="25" t="inlineStr">
        <is>
          <t>أكتوبر</t>
        </is>
      </c>
      <c r="M3" s="25" t="inlineStr">
        <is>
          <t>نوفمبر</t>
        </is>
      </c>
      <c r="N3" s="25" t="inlineStr">
        <is>
          <t>ديسمبر</t>
        </is>
      </c>
      <c r="O3" s="29" t="inlineStr">
        <is>
          <t>الإجمالي السنوي</t>
        </is>
      </c>
    </row>
    <row r="6" ht="15" customHeight="1" s="24">
      <c r="B6" s="30" t="inlineStr">
        <is>
          <t>الإيرادات</t>
        </is>
      </c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</row>
    <row r="7" ht="15" customHeight="1" s="24">
      <c r="B7" s="32" t="inlineStr">
        <is>
          <t>مبيعات منتجات</t>
        </is>
      </c>
      <c r="C7" s="33">
        <f>SUMIFS('دفتر الأستاذ العام'!$F$2:$F$313,'دفتر الأستاذ العام'!$D$2:$D$313,"مبيعات منتجات",'دفتر الأستاذ العام'!$B$2:$B$313,1)</f>
        <v/>
      </c>
      <c r="D7" s="33">
        <f>SUMIFS('دفتر الأستاذ العام'!$F$2:$F$313,'دفتر الأستاذ العام'!$D$2:$D$313,"مبيعات منتجات",'دفتر الأستاذ العام'!$B$2:$B$313,2)</f>
        <v/>
      </c>
      <c r="E7" s="33">
        <f>SUMIFS('دفتر الأستاذ العام'!$F$2:$F$313,'دفتر الأستاذ العام'!$D$2:$D$313,"مبيعات منتجات",'دفتر الأستاذ العام'!$B$2:$B$313,3)</f>
        <v/>
      </c>
      <c r="F7" s="33">
        <f>SUMIFS('دفتر الأستاذ العام'!$F$2:$F$313,'دفتر الأستاذ العام'!$D$2:$D$313,"مبيعات منتجات",'دفتر الأستاذ العام'!$B$2:$B$313,4)</f>
        <v/>
      </c>
      <c r="G7" s="33">
        <f>SUMIFS('دفتر الأستاذ العام'!$F$2:$F$313,'دفتر الأستاذ العام'!$D$2:$D$313,"مبيعات منتجات",'دفتر الأستاذ العام'!$B$2:$B$313,5)</f>
        <v/>
      </c>
      <c r="H7" s="33">
        <f>SUMIFS('دفتر الأستاذ العام'!$F$2:$F$313,'دفتر الأستاذ العام'!$D$2:$D$313,"مبيعات منتجات",'دفتر الأستاذ العام'!$B$2:$B$313,6)</f>
        <v/>
      </c>
      <c r="I7" s="33">
        <f>SUMIFS('دفتر الأستاذ العام'!$F$2:$F$313,'دفتر الأستاذ العام'!$D$2:$D$313,"مبيعات منتجات",'دفتر الأستاذ العام'!$B$2:$B$313,7)</f>
        <v/>
      </c>
      <c r="J7" s="33">
        <f>SUMIFS('دفتر الأستاذ العام'!$F$2:$F$313,'دفتر الأستاذ العام'!$D$2:$D$313,"مبيعات منتجات",'دفتر الأستاذ العام'!$B$2:$B$313,8)</f>
        <v/>
      </c>
      <c r="K7" s="33">
        <f>SUMIFS('دفتر الأستاذ العام'!$F$2:$F$313,'دفتر الأستاذ العام'!$D$2:$D$313,"مبيعات منتجات",'دفتر الأستاذ العام'!$B$2:$B$313,9)</f>
        <v/>
      </c>
      <c r="L7" s="33">
        <f>SUMIFS('دفتر الأستاذ العام'!$F$2:$F$313,'دفتر الأستاذ العام'!$D$2:$D$313,"مبيعات منتجات",'دفتر الأستاذ العام'!$B$2:$B$313,10)</f>
        <v/>
      </c>
      <c r="M7" s="33">
        <f>SUMIFS('دفتر الأستاذ العام'!$F$2:$F$313,'دفتر الأستاذ العام'!$D$2:$D$313,"مبيعات منتجات",'دفتر الأستاذ العام'!$B$2:$B$313,11)</f>
        <v/>
      </c>
      <c r="N7" s="33">
        <f>SUMIFS('دفتر الأستاذ العام'!$F$2:$F$313,'دفتر الأستاذ العام'!$D$2:$D$313,"مبيعات منتجات",'دفتر الأستاذ العام'!$B$2:$B$313,12)</f>
        <v/>
      </c>
      <c r="O7" s="34">
        <f>SUM(C7:N7)</f>
        <v/>
      </c>
    </row>
    <row r="8" ht="15" customHeight="1" s="24">
      <c r="B8" s="32" t="inlineStr">
        <is>
          <t>إيرادات خدمات</t>
        </is>
      </c>
      <c r="C8" s="33">
        <f>SUMIFS('دفتر الأستاذ العام'!$F$2:$F$313,'دفتر الأستاذ العام'!$D$2:$D$313,"إيرادات خدمات",'دفتر الأستاذ العام'!$B$2:$B$313,1)</f>
        <v/>
      </c>
      <c r="D8" s="33">
        <f>SUMIFS('دفتر الأستاذ العام'!$F$2:$F$313,'دفتر الأستاذ العام'!$D$2:$D$313,"إيرادات خدمات",'دفتر الأستاذ العام'!$B$2:$B$313,2)</f>
        <v/>
      </c>
      <c r="E8" s="33">
        <f>SUMIFS('دفتر الأستاذ العام'!$F$2:$F$313,'دفتر الأستاذ العام'!$D$2:$D$313,"إيرادات خدمات",'دفتر الأستاذ العام'!$B$2:$B$313,3)</f>
        <v/>
      </c>
      <c r="F8" s="33">
        <f>SUMIFS('دفتر الأستاذ العام'!$F$2:$F$313,'دفتر الأستاذ العام'!$D$2:$D$313,"إيرادات خدمات",'دفتر الأستاذ العام'!$B$2:$B$313,4)</f>
        <v/>
      </c>
      <c r="G8" s="33">
        <f>SUMIFS('دفتر الأستاذ العام'!$F$2:$F$313,'دفتر الأستاذ العام'!$D$2:$D$313,"إيرادات خدمات",'دفتر الأستاذ العام'!$B$2:$B$313,5)</f>
        <v/>
      </c>
      <c r="H8" s="33">
        <f>SUMIFS('دفتر الأستاذ العام'!$F$2:$F$313,'دفتر الأستاذ العام'!$D$2:$D$313,"إيرادات خدمات",'دفتر الأستاذ العام'!$B$2:$B$313,6)</f>
        <v/>
      </c>
      <c r="I8" s="33">
        <f>SUMIFS('دفتر الأستاذ العام'!$F$2:$F$313,'دفتر الأستاذ العام'!$D$2:$D$313,"إيرادات خدمات",'دفتر الأستاذ العام'!$B$2:$B$313,7)</f>
        <v/>
      </c>
      <c r="J8" s="33">
        <f>SUMIFS('دفتر الأستاذ العام'!$F$2:$F$313,'دفتر الأستاذ العام'!$D$2:$D$313,"إيرادات خدمات",'دفتر الأستاذ العام'!$B$2:$B$313,8)</f>
        <v/>
      </c>
      <c r="K8" s="33">
        <f>SUMIFS('دفتر الأستاذ العام'!$F$2:$F$313,'دفتر الأستاذ العام'!$D$2:$D$313,"إيرادات خدمات",'دفتر الأستاذ العام'!$B$2:$B$313,9)</f>
        <v/>
      </c>
      <c r="L8" s="33">
        <f>SUMIFS('دفتر الأستاذ العام'!$F$2:$F$313,'دفتر الأستاذ العام'!$D$2:$D$313,"إيرادات خدمات",'دفتر الأستاذ العام'!$B$2:$B$313,10)</f>
        <v/>
      </c>
      <c r="M8" s="33">
        <f>SUMIFS('دفتر الأستاذ العام'!$F$2:$F$313,'دفتر الأستاذ العام'!$D$2:$D$313,"إيرادات خدمات",'دفتر الأستاذ العام'!$B$2:$B$313,11)</f>
        <v/>
      </c>
      <c r="N8" s="33">
        <f>SUMIFS('دفتر الأستاذ العام'!$F$2:$F$313,'دفتر الأستاذ العام'!$D$2:$D$313,"إيرادات خدمات",'دفتر الأستاذ العام'!$B$2:$B$313,12)</f>
        <v/>
      </c>
      <c r="O8" s="34">
        <f>SUM(C8:N8)</f>
        <v/>
      </c>
    </row>
    <row r="9" ht="15" customHeight="1" s="24">
      <c r="B9" s="32" t="inlineStr">
        <is>
          <t>إيرادات أخرى</t>
        </is>
      </c>
      <c r="C9" s="33">
        <f>SUMIFS('دفتر الأستاذ العام'!$F$2:$F$313,'دفتر الأستاذ العام'!$D$2:$D$313,"إيرادات أخرى",'دفتر الأستاذ العام'!$B$2:$B$313,1)</f>
        <v/>
      </c>
      <c r="D9" s="33">
        <f>SUMIFS('دفتر الأستاذ العام'!$F$2:$F$313,'دفتر الأستاذ العام'!$D$2:$D$313,"إيرادات أخرى",'دفتر الأستاذ العام'!$B$2:$B$313,2)</f>
        <v/>
      </c>
      <c r="E9" s="33">
        <f>SUMIFS('دفتر الأستاذ العام'!$F$2:$F$313,'دفتر الأستاذ العام'!$D$2:$D$313,"إيرادات أخرى",'دفتر الأستاذ العام'!$B$2:$B$313,3)</f>
        <v/>
      </c>
      <c r="F9" s="33">
        <f>SUMIFS('دفتر الأستاذ العام'!$F$2:$F$313,'دفتر الأستاذ العام'!$D$2:$D$313,"إيرادات أخرى",'دفتر الأستاذ العام'!$B$2:$B$313,4)</f>
        <v/>
      </c>
      <c r="G9" s="33">
        <f>SUMIFS('دفتر الأستاذ العام'!$F$2:$F$313,'دفتر الأستاذ العام'!$D$2:$D$313,"إيرادات أخرى",'دفتر الأستاذ العام'!$B$2:$B$313,5)</f>
        <v/>
      </c>
      <c r="H9" s="33">
        <f>SUMIFS('دفتر الأستاذ العام'!$F$2:$F$313,'دفتر الأستاذ العام'!$D$2:$D$313,"إيرادات أخرى",'دفتر الأستاذ العام'!$B$2:$B$313,6)</f>
        <v/>
      </c>
      <c r="I9" s="33">
        <f>SUMIFS('دفتر الأستاذ العام'!$F$2:$F$313,'دفتر الأستاذ العام'!$D$2:$D$313,"إيرادات أخرى",'دفتر الأستاذ العام'!$B$2:$B$313,7)</f>
        <v/>
      </c>
      <c r="J9" s="33">
        <f>SUMIFS('دفتر الأستاذ العام'!$F$2:$F$313,'دفتر الأستاذ العام'!$D$2:$D$313,"إيرادات أخرى",'دفتر الأستاذ العام'!$B$2:$B$313,8)</f>
        <v/>
      </c>
      <c r="K9" s="33">
        <f>SUMIFS('دفتر الأستاذ العام'!$F$2:$F$313,'دفتر الأستاذ العام'!$D$2:$D$313,"إيرادات أخرى",'دفتر الأستاذ العام'!$B$2:$B$313,9)</f>
        <v/>
      </c>
      <c r="L9" s="33">
        <f>SUMIFS('دفتر الأستاذ العام'!$F$2:$F$313,'دفتر الأستاذ العام'!$D$2:$D$313,"إيرادات أخرى",'دفتر الأستاذ العام'!$B$2:$B$313,10)</f>
        <v/>
      </c>
      <c r="M9" s="33">
        <f>SUMIFS('دفتر الأستاذ العام'!$F$2:$F$313,'دفتر الأستاذ العام'!$D$2:$D$313,"إيرادات أخرى",'دفتر الأستاذ العام'!$B$2:$B$313,11)</f>
        <v/>
      </c>
      <c r="N9" s="33">
        <f>SUMIFS('دفتر الأستاذ العام'!$F$2:$F$313,'دفتر الأستاذ العام'!$D$2:$D$313,"إيرادات أخرى",'دفتر الأستاذ العام'!$B$2:$B$313,12)</f>
        <v/>
      </c>
      <c r="O9" s="34">
        <f>SUM(C9:N9)</f>
        <v/>
      </c>
    </row>
    <row r="10" ht="15" customHeight="1" s="24">
      <c r="B10" s="35" t="inlineStr">
        <is>
          <t>إجمالي الإيرادات</t>
        </is>
      </c>
      <c r="C10" s="36">
        <f>C7+C8+C9</f>
        <v/>
      </c>
      <c r="D10" s="36">
        <f>D7+D8+D9</f>
        <v/>
      </c>
      <c r="E10" s="36">
        <f>E7+E8+E9</f>
        <v/>
      </c>
      <c r="F10" s="36">
        <f>F7+F8+F9</f>
        <v/>
      </c>
      <c r="G10" s="36">
        <f>G7+G8+G9</f>
        <v/>
      </c>
      <c r="H10" s="36">
        <f>H7+H8+H9</f>
        <v/>
      </c>
      <c r="I10" s="36">
        <f>I7+I8+I9</f>
        <v/>
      </c>
      <c r="J10" s="36">
        <f>J7+J8+J9</f>
        <v/>
      </c>
      <c r="K10" s="36">
        <f>K7+K8+K9</f>
        <v/>
      </c>
      <c r="L10" s="36">
        <f>L7+L8+L9</f>
        <v/>
      </c>
      <c r="M10" s="36">
        <f>M7+M8+M9</f>
        <v/>
      </c>
      <c r="N10" s="36">
        <f>N7+N8+N9</f>
        <v/>
      </c>
      <c r="O10" s="37">
        <f>SUM(C10:N10)</f>
        <v/>
      </c>
    </row>
    <row r="12" ht="15" customHeight="1" s="24">
      <c r="B12" s="30" t="inlineStr">
        <is>
          <t>تكلفة الإنتاج المباشرة (COGS)</t>
        </is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</row>
    <row r="13" ht="15" customHeight="1" s="24">
      <c r="B13" s="32" t="inlineStr">
        <is>
          <t>مواد خام مباشرة</t>
        </is>
      </c>
      <c r="C13" s="33">
        <f>SUMIFS('دفتر الأستاذ العام'!$E$2:$E$313,'دفتر الأستاذ العام'!$D$2:$D$313,"مواد خام مباشرة",'دفتر الأستاذ العام'!$B$2:$B$313,1)</f>
        <v/>
      </c>
      <c r="D13" s="33">
        <f>SUMIFS('دفتر الأستاذ العام'!$E$2:$E$313,'دفتر الأستاذ العام'!$D$2:$D$313,"مواد خام مباشرة",'دفتر الأستاذ العام'!$B$2:$B$313,2)</f>
        <v/>
      </c>
      <c r="E13" s="33">
        <f>SUMIFS('دفتر الأستاذ العام'!$E$2:$E$313,'دفتر الأستاذ العام'!$D$2:$D$313,"مواد خام مباشرة",'دفتر الأستاذ العام'!$B$2:$B$313,3)</f>
        <v/>
      </c>
      <c r="F13" s="33">
        <f>SUMIFS('دفتر الأستاذ العام'!$E$2:$E$313,'دفتر الأستاذ العام'!$D$2:$D$313,"مواد خام مباشرة",'دفتر الأستاذ العام'!$B$2:$B$313,4)</f>
        <v/>
      </c>
      <c r="G13" s="33">
        <f>SUMIFS('دفتر الأستاذ العام'!$E$2:$E$313,'دفتر الأستاذ العام'!$D$2:$D$313,"مواد خام مباشرة",'دفتر الأستاذ العام'!$B$2:$B$313,5)</f>
        <v/>
      </c>
      <c r="H13" s="33">
        <f>SUMIFS('دفتر الأستاذ العام'!$E$2:$E$313,'دفتر الأستاذ العام'!$D$2:$D$313,"مواد خام مباشرة",'دفتر الأستاذ العام'!$B$2:$B$313,6)</f>
        <v/>
      </c>
      <c r="I13" s="33">
        <f>SUMIFS('دفتر الأستاذ العام'!$E$2:$E$313,'دفتر الأستاذ العام'!$D$2:$D$313,"مواد خام مباشرة",'دفتر الأستاذ العام'!$B$2:$B$313,7)</f>
        <v/>
      </c>
      <c r="J13" s="33">
        <f>SUMIFS('دفتر الأستاذ العام'!$E$2:$E$313,'دفتر الأستاذ العام'!$D$2:$D$313,"مواد خام مباشرة",'دفتر الأستاذ العام'!$B$2:$B$313,8)</f>
        <v/>
      </c>
      <c r="K13" s="33">
        <f>SUMIFS('دفتر الأستاذ العام'!$E$2:$E$313,'دفتر الأستاذ العام'!$D$2:$D$313,"مواد خام مباشرة",'دفتر الأستاذ العام'!$B$2:$B$313,9)</f>
        <v/>
      </c>
      <c r="L13" s="33">
        <f>SUMIFS('دفتر الأستاذ العام'!$E$2:$E$313,'دفتر الأستاذ العام'!$D$2:$D$313,"مواد خام مباشرة",'دفتر الأستاذ العام'!$B$2:$B$313,10)</f>
        <v/>
      </c>
      <c r="M13" s="33">
        <f>SUMIFS('دفتر الأستاذ العام'!$E$2:$E$313,'دفتر الأستاذ العام'!$D$2:$D$313,"مواد خام مباشرة",'دفتر الأستاذ العام'!$B$2:$B$313,11)</f>
        <v/>
      </c>
      <c r="N13" s="33">
        <f>SUMIFS('دفتر الأستاذ العام'!$E$2:$E$313,'دفتر الأستاذ العام'!$D$2:$D$313,"مواد خام مباشرة",'دفتر الأستاذ العام'!$B$2:$B$313,12)</f>
        <v/>
      </c>
      <c r="O13" s="34">
        <f>SUM(C13:N13)</f>
        <v/>
      </c>
    </row>
    <row r="14" ht="15" customHeight="1" s="24">
      <c r="B14" s="32" t="inlineStr">
        <is>
          <t>أجور مباشرة</t>
        </is>
      </c>
      <c r="C14" s="33">
        <f>SUMIFS('دفتر الأستاذ العام'!$E$2:$E$313,'دفتر الأستاذ العام'!$D$2:$D$313,"أجور مباشرة",'دفتر الأستاذ العام'!$B$2:$B$313,1)</f>
        <v/>
      </c>
      <c r="D14" s="33">
        <f>SUMIFS('دفتر الأستاذ العام'!$E$2:$E$313,'دفتر الأستاذ العام'!$D$2:$D$313,"أجور مباشرة",'دفتر الأستاذ العام'!$B$2:$B$313,2)</f>
        <v/>
      </c>
      <c r="E14" s="33">
        <f>SUMIFS('دفتر الأستاذ العام'!$E$2:$E$313,'دفتر الأستاذ العام'!$D$2:$D$313,"أجور مباشرة",'دفتر الأستاذ العام'!$B$2:$B$313,3)</f>
        <v/>
      </c>
      <c r="F14" s="33">
        <f>SUMIFS('دفتر الأستاذ العام'!$E$2:$E$313,'دفتر الأستاذ العام'!$D$2:$D$313,"أجور مباشرة",'دفتر الأستاذ العام'!$B$2:$B$313,4)</f>
        <v/>
      </c>
      <c r="G14" s="33">
        <f>SUMIFS('دفتر الأستاذ العام'!$E$2:$E$313,'دفتر الأستاذ العام'!$D$2:$D$313,"أجور مباشرة",'دفتر الأستاذ العام'!$B$2:$B$313,5)</f>
        <v/>
      </c>
      <c r="H14" s="33">
        <f>SUMIFS('دفتر الأستاذ العام'!$E$2:$E$313,'دفتر الأستاذ العام'!$D$2:$D$313,"أجور مباشرة",'دفتر الأستاذ العام'!$B$2:$B$313,6)</f>
        <v/>
      </c>
      <c r="I14" s="33">
        <f>SUMIFS('دفتر الأستاذ العام'!$E$2:$E$313,'دفتر الأستاذ العام'!$D$2:$D$313,"أجور مباشرة",'دفتر الأستاذ العام'!$B$2:$B$313,7)</f>
        <v/>
      </c>
      <c r="J14" s="33">
        <f>SUMIFS('دفتر الأستاذ العام'!$E$2:$E$313,'دفتر الأستاذ العام'!$D$2:$D$313,"أجور مباشرة",'دفتر الأستاذ العام'!$B$2:$B$313,8)</f>
        <v/>
      </c>
      <c r="K14" s="33">
        <f>SUMIFS('دفتر الأستاذ العام'!$E$2:$E$313,'دفتر الأستاذ العام'!$D$2:$D$313,"أجور مباشرة",'دفتر الأستاذ العام'!$B$2:$B$313,9)</f>
        <v/>
      </c>
      <c r="L14" s="33">
        <f>SUMIFS('دفتر الأستاذ العام'!$E$2:$E$313,'دفتر الأستاذ العام'!$D$2:$D$313,"أجور مباشرة",'دفتر الأستاذ العام'!$B$2:$B$313,10)</f>
        <v/>
      </c>
      <c r="M14" s="33">
        <f>SUMIFS('دفتر الأستاذ العام'!$E$2:$E$313,'دفتر الأستاذ العام'!$D$2:$D$313,"أجور مباشرة",'دفتر الأستاذ العام'!$B$2:$B$313,11)</f>
        <v/>
      </c>
      <c r="N14" s="33">
        <f>SUMIFS('دفتر الأستاذ العام'!$E$2:$E$313,'دفتر الأستاذ العام'!$D$2:$D$313,"أجور مباشرة",'دفتر الأستاذ العام'!$B$2:$B$313,12)</f>
        <v/>
      </c>
      <c r="O14" s="34">
        <f>SUM(C14:N14)</f>
        <v/>
      </c>
    </row>
    <row r="15" ht="15" customHeight="1" s="24">
      <c r="B15" s="32" t="inlineStr">
        <is>
          <t>تكاليف صناعية غير مباشرة</t>
        </is>
      </c>
      <c r="C15" s="33">
        <f>SUMIFS('دفتر الأستاذ العام'!$E$2:$E$313,'دفتر الأستاذ العام'!$D$2:$D$313,"تكاليف صناعية غير مباشرة",'دفتر الأستاذ العام'!$B$2:$B$313,1)</f>
        <v/>
      </c>
      <c r="D15" s="33">
        <f>SUMIFS('دفتر الأستاذ العام'!$E$2:$E$313,'دفتر الأستاذ العام'!$D$2:$D$313,"تكاليف صناعية غير مباشرة",'دفتر الأستاذ العام'!$B$2:$B$313,2)</f>
        <v/>
      </c>
      <c r="E15" s="33">
        <f>SUMIFS('دفتر الأستاذ العام'!$E$2:$E$313,'دفتر الأستاذ العام'!$D$2:$D$313,"تكاليف صناعية غير مباشرة",'دفتر الأستاذ العام'!$B$2:$B$313,3)</f>
        <v/>
      </c>
      <c r="F15" s="33">
        <f>SUMIFS('دفتر الأستاذ العام'!$E$2:$E$313,'دفتر الأستاذ العام'!$D$2:$D$313,"تكاليف صناعية غير مباشرة",'دفتر الأستاذ العام'!$B$2:$B$313,4)</f>
        <v/>
      </c>
      <c r="G15" s="33">
        <f>SUMIFS('دفتر الأستاذ العام'!$E$2:$E$313,'دفتر الأستاذ العام'!$D$2:$D$313,"تكاليف صناعية غير مباشرة",'دفتر الأستاذ العام'!$B$2:$B$313,5)</f>
        <v/>
      </c>
      <c r="H15" s="33">
        <f>SUMIFS('دفتر الأستاذ العام'!$E$2:$E$313,'دفتر الأستاذ العام'!$D$2:$D$313,"تكاليف صناعية غير مباشرة",'دفتر الأستاذ العام'!$B$2:$B$313,6)</f>
        <v/>
      </c>
      <c r="I15" s="33">
        <f>SUMIFS('دفتر الأستاذ العام'!$E$2:$E$313,'دفتر الأستاذ العام'!$D$2:$D$313,"تكاليف صناعية غير مباشرة",'دفتر الأستاذ العام'!$B$2:$B$313,7)</f>
        <v/>
      </c>
      <c r="J15" s="33">
        <f>SUMIFS('دفتر الأستاذ العام'!$E$2:$E$313,'دفتر الأستاذ العام'!$D$2:$D$313,"تكاليف صناعية غير مباشرة",'دفتر الأستاذ العام'!$B$2:$B$313,8)</f>
        <v/>
      </c>
      <c r="K15" s="33">
        <f>SUMIFS('دفتر الأستاذ العام'!$E$2:$E$313,'دفتر الأستاذ العام'!$D$2:$D$313,"تكاليف صناعية غير مباشرة",'دفتر الأستاذ العام'!$B$2:$B$313,9)</f>
        <v/>
      </c>
      <c r="L15" s="33">
        <f>SUMIFS('دفتر الأستاذ العام'!$E$2:$E$313,'دفتر الأستاذ العام'!$D$2:$D$313,"تكاليف صناعية غير مباشرة",'دفتر الأستاذ العام'!$B$2:$B$313,10)</f>
        <v/>
      </c>
      <c r="M15" s="33">
        <f>SUMIFS('دفتر الأستاذ العام'!$E$2:$E$313,'دفتر الأستاذ العام'!$D$2:$D$313,"تكاليف صناعية غير مباشرة",'دفتر الأستاذ العام'!$B$2:$B$313,11)</f>
        <v/>
      </c>
      <c r="N15" s="33">
        <f>SUMIFS('دفتر الأستاذ العام'!$E$2:$E$313,'دفتر الأستاذ العام'!$D$2:$D$313,"تكاليف صناعية غير مباشرة",'دفتر الأستاذ العام'!$B$2:$B$313,12)</f>
        <v/>
      </c>
      <c r="O15" s="34">
        <f>SUM(C15:N15)</f>
        <v/>
      </c>
    </row>
    <row r="16" ht="15" customHeight="1" s="24">
      <c r="B16" s="35" t="inlineStr">
        <is>
          <t>إجمالي تكلفة الإنتاج المباشرة</t>
        </is>
      </c>
      <c r="C16" s="36">
        <f>C13+C14+C15</f>
        <v/>
      </c>
      <c r="D16" s="36">
        <f>D13+D14+D15</f>
        <v/>
      </c>
      <c r="E16" s="36">
        <f>E13+E14+E15</f>
        <v/>
      </c>
      <c r="F16" s="36">
        <f>F13+F14+F15</f>
        <v/>
      </c>
      <c r="G16" s="36">
        <f>G13+G14+G15</f>
        <v/>
      </c>
      <c r="H16" s="36">
        <f>H13+H14+H15</f>
        <v/>
      </c>
      <c r="I16" s="36">
        <f>I13+I14+I15</f>
        <v/>
      </c>
      <c r="J16" s="36">
        <f>J13+J14+J15</f>
        <v/>
      </c>
      <c r="K16" s="36">
        <f>K13+K14+K15</f>
        <v/>
      </c>
      <c r="L16" s="36">
        <f>L13+L14+L15</f>
        <v/>
      </c>
      <c r="M16" s="36">
        <f>M13+M14+M15</f>
        <v/>
      </c>
      <c r="N16" s="36">
        <f>N13+N14+N15</f>
        <v/>
      </c>
      <c r="O16" s="37">
        <f>SUM(C16:N16)</f>
        <v/>
      </c>
    </row>
    <row r="17" ht="15" customHeight="1" s="24">
      <c r="B17" s="38" t="inlineStr">
        <is>
          <t>مجمل الربح</t>
        </is>
      </c>
      <c r="C17" s="39">
        <f>C10-C16</f>
        <v/>
      </c>
      <c r="D17" s="39">
        <f>D10-D16</f>
        <v/>
      </c>
      <c r="E17" s="39">
        <f>E10-E16</f>
        <v/>
      </c>
      <c r="F17" s="39">
        <f>F10-F16</f>
        <v/>
      </c>
      <c r="G17" s="39">
        <f>G10-G16</f>
        <v/>
      </c>
      <c r="H17" s="39">
        <f>H10-H16</f>
        <v/>
      </c>
      <c r="I17" s="39">
        <f>I10-I16</f>
        <v/>
      </c>
      <c r="J17" s="39">
        <f>J10-J16</f>
        <v/>
      </c>
      <c r="K17" s="39">
        <f>K10-K16</f>
        <v/>
      </c>
      <c r="L17" s="39">
        <f>L10-L16</f>
        <v/>
      </c>
      <c r="M17" s="39">
        <f>M10-M16</f>
        <v/>
      </c>
      <c r="N17" s="39">
        <f>N10-N16</f>
        <v/>
      </c>
      <c r="O17" s="34">
        <f>SUM(C17:N17)</f>
        <v/>
      </c>
    </row>
    <row r="19" ht="15" customHeight="1" s="24">
      <c r="B19" s="30" t="inlineStr">
        <is>
          <t>المصروفات التشغيلية</t>
        </is>
      </c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</row>
    <row r="20" ht="15" customHeight="1" s="24">
      <c r="B20" s="32" t="inlineStr">
        <is>
          <t>رواتب وأجور إدارية</t>
        </is>
      </c>
      <c r="C20" s="33">
        <f>SUMIFS('دفتر الأستاذ العام'!$E$2:$E$313,'دفتر الأستاذ العام'!$D$2:$D$313,"رواتب وأجور إدارية",'دفتر الأستاذ العام'!$B$2:$B$313,1)</f>
        <v/>
      </c>
      <c r="D20" s="33">
        <f>SUMIFS('دفتر الأستاذ العام'!$E$2:$E$313,'دفتر الأستاذ العام'!$D$2:$D$313,"رواتب وأجور إدارية",'دفتر الأستاذ العام'!$B$2:$B$313,2)</f>
        <v/>
      </c>
      <c r="E20" s="33">
        <f>SUMIFS('دفتر الأستاذ العام'!$E$2:$E$313,'دفتر الأستاذ العام'!$D$2:$D$313,"رواتب وأجور إدارية",'دفتر الأستاذ العام'!$B$2:$B$313,3)</f>
        <v/>
      </c>
      <c r="F20" s="33">
        <f>SUMIFS('دفتر الأستاذ العام'!$E$2:$E$313,'دفتر الأستاذ العام'!$D$2:$D$313,"رواتب وأجور إدارية",'دفتر الأستاذ العام'!$B$2:$B$313,4)</f>
        <v/>
      </c>
      <c r="G20" s="33">
        <f>SUMIFS('دفتر الأستاذ العام'!$E$2:$E$313,'دفتر الأستاذ العام'!$D$2:$D$313,"رواتب وأجور إدارية",'دفتر الأستاذ العام'!$B$2:$B$313,5)</f>
        <v/>
      </c>
      <c r="H20" s="33">
        <f>SUMIFS('دفتر الأستاذ العام'!$E$2:$E$313,'دفتر الأستاذ العام'!$D$2:$D$313,"رواتب وأجور إدارية",'دفتر الأستاذ العام'!$B$2:$B$313,6)</f>
        <v/>
      </c>
      <c r="I20" s="33">
        <f>SUMIFS('دفتر الأستاذ العام'!$E$2:$E$313,'دفتر الأستاذ العام'!$D$2:$D$313,"رواتب وأجور إدارية",'دفتر الأستاذ العام'!$B$2:$B$313,7)</f>
        <v/>
      </c>
      <c r="J20" s="33">
        <f>SUMIFS('دفتر الأستاذ العام'!$E$2:$E$313,'دفتر الأستاذ العام'!$D$2:$D$313,"رواتب وأجور إدارية",'دفتر الأستاذ العام'!$B$2:$B$313,8)</f>
        <v/>
      </c>
      <c r="K20" s="33">
        <f>SUMIFS('دفتر الأستاذ العام'!$E$2:$E$313,'دفتر الأستاذ العام'!$D$2:$D$313,"رواتب وأجور إدارية",'دفتر الأستاذ العام'!$B$2:$B$313,9)</f>
        <v/>
      </c>
      <c r="L20" s="33">
        <f>SUMIFS('دفتر الأستاذ العام'!$E$2:$E$313,'دفتر الأستاذ العام'!$D$2:$D$313,"رواتب وأجور إدارية",'دفتر الأستاذ العام'!$B$2:$B$313,10)</f>
        <v/>
      </c>
      <c r="M20" s="33">
        <f>SUMIFS('دفتر الأستاذ العام'!$E$2:$E$313,'دفتر الأستاذ العام'!$D$2:$D$313,"رواتب وأجور إدارية",'دفتر الأستاذ العام'!$B$2:$B$313,11)</f>
        <v/>
      </c>
      <c r="N20" s="33">
        <f>SUMIFS('دفتر الأستاذ العام'!$E$2:$E$313,'دفتر الأستاذ العام'!$D$2:$D$313,"رواتب وأجور إدارية",'دفتر الأستاذ العام'!$B$2:$B$313,12)</f>
        <v/>
      </c>
      <c r="O20" s="34">
        <f>SUM(C20:N20)</f>
        <v/>
      </c>
    </row>
    <row r="21" ht="15" customHeight="1" s="24">
      <c r="B21" s="32" t="inlineStr">
        <is>
          <t>إيجار</t>
        </is>
      </c>
      <c r="C21" s="33">
        <f>SUMIFS('دفتر الأستاذ العام'!$E$2:$E$313,'دفتر الأستاذ العام'!$D$2:$D$313,"إيجار",'دفتر الأستاذ العام'!$B$2:$B$313,1)</f>
        <v/>
      </c>
      <c r="D21" s="33">
        <f>SUMIFS('دفتر الأستاذ العام'!$E$2:$E$313,'دفتر الأستاذ العام'!$D$2:$D$313,"إيجار",'دفتر الأستاذ العام'!$B$2:$B$313,2)</f>
        <v/>
      </c>
      <c r="E21" s="33">
        <f>SUMIFS('دفتر الأستاذ العام'!$E$2:$E$313,'دفتر الأستاذ العام'!$D$2:$D$313,"إيجار",'دفتر الأستاذ العام'!$B$2:$B$313,3)</f>
        <v/>
      </c>
      <c r="F21" s="33">
        <f>SUMIFS('دفتر الأستاذ العام'!$E$2:$E$313,'دفتر الأستاذ العام'!$D$2:$D$313,"إيجار",'دفتر الأستاذ العام'!$B$2:$B$313,4)</f>
        <v/>
      </c>
      <c r="G21" s="33">
        <f>SUMIFS('دفتر الأستاذ العام'!$E$2:$E$313,'دفتر الأستاذ العام'!$D$2:$D$313,"إيجار",'دفتر الأستاذ العام'!$B$2:$B$313,5)</f>
        <v/>
      </c>
      <c r="H21" s="33">
        <f>SUMIFS('دفتر الأستاذ العام'!$E$2:$E$313,'دفتر الأستاذ العام'!$D$2:$D$313,"إيجار",'دفتر الأستاذ العام'!$B$2:$B$313,6)</f>
        <v/>
      </c>
      <c r="I21" s="33">
        <f>SUMIFS('دفتر الأستاذ العام'!$E$2:$E$313,'دفتر الأستاذ العام'!$D$2:$D$313,"إيجار",'دفتر الأستاذ العام'!$B$2:$B$313,7)</f>
        <v/>
      </c>
      <c r="J21" s="33">
        <f>SUMIFS('دفتر الأستاذ العام'!$E$2:$E$313,'دفتر الأستاذ العام'!$D$2:$D$313,"إيجار",'دفتر الأستاذ العام'!$B$2:$B$313,8)</f>
        <v/>
      </c>
      <c r="K21" s="33">
        <f>SUMIFS('دفتر الأستاذ العام'!$E$2:$E$313,'دفتر الأستاذ العام'!$D$2:$D$313,"إيجار",'دفتر الأستاذ العام'!$B$2:$B$313,9)</f>
        <v/>
      </c>
      <c r="L21" s="33">
        <f>SUMIFS('دفتر الأستاذ العام'!$E$2:$E$313,'دفتر الأستاذ العام'!$D$2:$D$313,"إيجار",'دفتر الأستاذ العام'!$B$2:$B$313,10)</f>
        <v/>
      </c>
      <c r="M21" s="33">
        <f>SUMIFS('دفتر الأستاذ العام'!$E$2:$E$313,'دفتر الأستاذ العام'!$D$2:$D$313,"إيجار",'دفتر الأستاذ العام'!$B$2:$B$313,11)</f>
        <v/>
      </c>
      <c r="N21" s="33">
        <f>SUMIFS('دفتر الأستاذ العام'!$E$2:$E$313,'دفتر الأستاذ العام'!$D$2:$D$313,"إيجار",'دفتر الأستاذ العام'!$B$2:$B$313,12)</f>
        <v/>
      </c>
      <c r="O21" s="34">
        <f>SUM(C21:N21)</f>
        <v/>
      </c>
    </row>
    <row r="22" ht="15" customHeight="1" s="24">
      <c r="B22" s="32" t="inlineStr">
        <is>
          <t>تسويق وإعلان</t>
        </is>
      </c>
      <c r="C22" s="33">
        <f>SUMIFS('دفتر الأستاذ العام'!$E$2:$E$313,'دفتر الأستاذ العام'!$D$2:$D$313,"تسويق وإعلان",'دفتر الأستاذ العام'!$B$2:$B$313,1)</f>
        <v/>
      </c>
      <c r="D22" s="33">
        <f>SUMIFS('دفتر الأستاذ العام'!$E$2:$E$313,'دفتر الأستاذ العام'!$D$2:$D$313,"تسويق وإعلان",'دفتر الأستاذ العام'!$B$2:$B$313,2)</f>
        <v/>
      </c>
      <c r="E22" s="33">
        <f>SUMIFS('دفتر الأستاذ العام'!$E$2:$E$313,'دفتر الأستاذ العام'!$D$2:$D$313,"تسويق وإعلان",'دفتر الأستاذ العام'!$B$2:$B$313,3)</f>
        <v/>
      </c>
      <c r="F22" s="33">
        <f>SUMIFS('دفتر الأستاذ العام'!$E$2:$E$313,'دفتر الأستاذ العام'!$D$2:$D$313,"تسويق وإعلان",'دفتر الأستاذ العام'!$B$2:$B$313,4)</f>
        <v/>
      </c>
      <c r="G22" s="33">
        <f>SUMIFS('دفتر الأستاذ العام'!$E$2:$E$313,'دفتر الأستاذ العام'!$D$2:$D$313,"تسويق وإعلان",'دفتر الأستاذ العام'!$B$2:$B$313,5)</f>
        <v/>
      </c>
      <c r="H22" s="33">
        <f>SUMIFS('دفتر الأستاذ العام'!$E$2:$E$313,'دفتر الأستاذ العام'!$D$2:$D$313,"تسويق وإعلان",'دفتر الأستاذ العام'!$B$2:$B$313,6)</f>
        <v/>
      </c>
      <c r="I22" s="33">
        <f>SUMIFS('دفتر الأستاذ العام'!$E$2:$E$313,'دفتر الأستاذ العام'!$D$2:$D$313,"تسويق وإعلان",'دفتر الأستاذ العام'!$B$2:$B$313,7)</f>
        <v/>
      </c>
      <c r="J22" s="33">
        <f>SUMIFS('دفتر الأستاذ العام'!$E$2:$E$313,'دفتر الأستاذ العام'!$D$2:$D$313,"تسويق وإعلان",'دفتر الأستاذ العام'!$B$2:$B$313,8)</f>
        <v/>
      </c>
      <c r="K22" s="33">
        <f>SUMIFS('دفتر الأستاذ العام'!$E$2:$E$313,'دفتر الأستاذ العام'!$D$2:$D$313,"تسويق وإعلان",'دفتر الأستاذ العام'!$B$2:$B$313,9)</f>
        <v/>
      </c>
      <c r="L22" s="33">
        <f>SUMIFS('دفتر الأستاذ العام'!$E$2:$E$313,'دفتر الأستاذ العام'!$D$2:$D$313,"تسويق وإعلان",'دفتر الأستاذ العام'!$B$2:$B$313,10)</f>
        <v/>
      </c>
      <c r="M22" s="33">
        <f>SUMIFS('دفتر الأستاذ العام'!$E$2:$E$313,'دفتر الأستاذ العام'!$D$2:$D$313,"تسويق وإعلان",'دفتر الأستاذ العام'!$B$2:$B$313,11)</f>
        <v/>
      </c>
      <c r="N22" s="33">
        <f>SUMIFS('دفتر الأستاذ العام'!$E$2:$E$313,'دفتر الأستاذ العام'!$D$2:$D$313,"تسويق وإعلان",'دفتر الأستاذ العام'!$B$2:$B$313,12)</f>
        <v/>
      </c>
      <c r="O22" s="34">
        <f>SUM(C22:N22)</f>
        <v/>
      </c>
    </row>
    <row r="23" ht="15" customHeight="1" s="24">
      <c r="B23" s="32" t="inlineStr">
        <is>
          <t>مرافق (كهرباء/مياه)</t>
        </is>
      </c>
      <c r="C23" s="33">
        <f>SUMIFS('دفتر الأستاذ العام'!$E$2:$E$313,'دفتر الأستاذ العام'!$D$2:$D$313,"مرافق (كهرباء/مياه)",'دفتر الأستاذ العام'!$B$2:$B$313,1)</f>
        <v/>
      </c>
      <c r="D23" s="33">
        <f>SUMIFS('دفتر الأستاذ العام'!$E$2:$E$313,'دفتر الأستاذ العام'!$D$2:$D$313,"مرافق (كهرباء/مياه)",'دفتر الأستاذ العام'!$B$2:$B$313,2)</f>
        <v/>
      </c>
      <c r="E23" s="33">
        <f>SUMIFS('دفتر الأستاذ العام'!$E$2:$E$313,'دفتر الأستاذ العام'!$D$2:$D$313,"مرافق (كهرباء/مياه)",'دفتر الأستاذ العام'!$B$2:$B$313,3)</f>
        <v/>
      </c>
      <c r="F23" s="33">
        <f>SUMIFS('دفتر الأستاذ العام'!$E$2:$E$313,'دفتر الأستاذ العام'!$D$2:$D$313,"مرافق (كهرباء/مياه)",'دفتر الأستاذ العام'!$B$2:$B$313,4)</f>
        <v/>
      </c>
      <c r="G23" s="33">
        <f>SUMIFS('دفتر الأستاذ العام'!$E$2:$E$313,'دفتر الأستاذ العام'!$D$2:$D$313,"مرافق (كهرباء/مياه)",'دفتر الأستاذ العام'!$B$2:$B$313,5)</f>
        <v/>
      </c>
      <c r="H23" s="33">
        <f>SUMIFS('دفتر الأستاذ العام'!$E$2:$E$313,'دفتر الأستاذ العام'!$D$2:$D$313,"مرافق (كهرباء/مياه)",'دفتر الأستاذ العام'!$B$2:$B$313,6)</f>
        <v/>
      </c>
      <c r="I23" s="33">
        <f>SUMIFS('دفتر الأستاذ العام'!$E$2:$E$313,'دفتر الأستاذ العام'!$D$2:$D$313,"مرافق (كهرباء/مياه)",'دفتر الأستاذ العام'!$B$2:$B$313,7)</f>
        <v/>
      </c>
      <c r="J23" s="33">
        <f>SUMIFS('دفتر الأستاذ العام'!$E$2:$E$313,'دفتر الأستاذ العام'!$D$2:$D$313,"مرافق (كهرباء/مياه)",'دفتر الأستاذ العام'!$B$2:$B$313,8)</f>
        <v/>
      </c>
      <c r="K23" s="33">
        <f>SUMIFS('دفتر الأستاذ العام'!$E$2:$E$313,'دفتر الأستاذ العام'!$D$2:$D$313,"مرافق (كهرباء/مياه)",'دفتر الأستاذ العام'!$B$2:$B$313,9)</f>
        <v/>
      </c>
      <c r="L23" s="33">
        <f>SUMIFS('دفتر الأستاذ العام'!$E$2:$E$313,'دفتر الأستاذ العام'!$D$2:$D$313,"مرافق (كهرباء/مياه)",'دفتر الأستاذ العام'!$B$2:$B$313,10)</f>
        <v/>
      </c>
      <c r="M23" s="33">
        <f>SUMIFS('دفتر الأستاذ العام'!$E$2:$E$313,'دفتر الأستاذ العام'!$D$2:$D$313,"مرافق (كهرباء/مياه)",'دفتر الأستاذ العام'!$B$2:$B$313,11)</f>
        <v/>
      </c>
      <c r="N23" s="33">
        <f>SUMIFS('دفتر الأستاذ العام'!$E$2:$E$313,'دفتر الأستاذ العام'!$D$2:$D$313,"مرافق (كهرباء/مياه)",'دفتر الأستاذ العام'!$B$2:$B$313,12)</f>
        <v/>
      </c>
      <c r="O23" s="34">
        <f>SUM(C23:N23)</f>
        <v/>
      </c>
    </row>
    <row r="24" ht="15" customHeight="1" s="24">
      <c r="B24" s="32" t="inlineStr">
        <is>
          <t>صيانة</t>
        </is>
      </c>
      <c r="C24" s="33">
        <f>SUMIFS('دفتر الأستاذ العام'!$E$2:$E$313,'دفتر الأستاذ العام'!$D$2:$D$313,"صيانة",'دفتر الأستاذ العام'!$B$2:$B$313,1)</f>
        <v/>
      </c>
      <c r="D24" s="33">
        <f>SUMIFS('دفتر الأستاذ العام'!$E$2:$E$313,'دفتر الأستاذ العام'!$D$2:$D$313,"صيانة",'دفتر الأستاذ العام'!$B$2:$B$313,2)</f>
        <v/>
      </c>
      <c r="E24" s="33">
        <f>SUMIFS('دفتر الأستاذ العام'!$E$2:$E$313,'دفتر الأستاذ العام'!$D$2:$D$313,"صيانة",'دفتر الأستاذ العام'!$B$2:$B$313,3)</f>
        <v/>
      </c>
      <c r="F24" s="33">
        <f>SUMIFS('دفتر الأستاذ العام'!$E$2:$E$313,'دفتر الأستاذ العام'!$D$2:$D$313,"صيانة",'دفتر الأستاذ العام'!$B$2:$B$313,4)</f>
        <v/>
      </c>
      <c r="G24" s="33">
        <f>SUMIFS('دفتر الأستاذ العام'!$E$2:$E$313,'دفتر الأستاذ العام'!$D$2:$D$313,"صيانة",'دفتر الأستاذ العام'!$B$2:$B$313,5)</f>
        <v/>
      </c>
      <c r="H24" s="33">
        <f>SUMIFS('دفتر الأستاذ العام'!$E$2:$E$313,'دفتر الأستاذ العام'!$D$2:$D$313,"صيانة",'دفتر الأستاذ العام'!$B$2:$B$313,6)</f>
        <v/>
      </c>
      <c r="I24" s="33">
        <f>SUMIFS('دفتر الأستاذ العام'!$E$2:$E$313,'دفتر الأستاذ العام'!$D$2:$D$313,"صيانة",'دفتر الأستاذ العام'!$B$2:$B$313,7)</f>
        <v/>
      </c>
      <c r="J24" s="33">
        <f>SUMIFS('دفتر الأستاذ العام'!$E$2:$E$313,'دفتر الأستاذ العام'!$D$2:$D$313,"صيانة",'دفتر الأستاذ العام'!$B$2:$B$313,8)</f>
        <v/>
      </c>
      <c r="K24" s="33">
        <f>SUMIFS('دفتر الأستاذ العام'!$E$2:$E$313,'دفتر الأستاذ العام'!$D$2:$D$313,"صيانة",'دفتر الأستاذ العام'!$B$2:$B$313,9)</f>
        <v/>
      </c>
      <c r="L24" s="33">
        <f>SUMIFS('دفتر الأستاذ العام'!$E$2:$E$313,'دفتر الأستاذ العام'!$D$2:$D$313,"صيانة",'دفتر الأستاذ العام'!$B$2:$B$313,10)</f>
        <v/>
      </c>
      <c r="M24" s="33">
        <f>SUMIFS('دفتر الأستاذ العام'!$E$2:$E$313,'دفتر الأستاذ العام'!$D$2:$D$313,"صيانة",'دفتر الأستاذ العام'!$B$2:$B$313,11)</f>
        <v/>
      </c>
      <c r="N24" s="33">
        <f>SUMIFS('دفتر الأستاذ العام'!$E$2:$E$313,'دفتر الأستاذ العام'!$D$2:$D$313,"صيانة",'دفتر الأستاذ العام'!$B$2:$B$313,12)</f>
        <v/>
      </c>
      <c r="O24" s="34">
        <f>SUM(C24:N24)</f>
        <v/>
      </c>
    </row>
    <row r="25" ht="15" customHeight="1" s="24">
      <c r="B25" s="32" t="inlineStr">
        <is>
          <t>تأمين</t>
        </is>
      </c>
      <c r="C25" s="33">
        <f>SUMIFS('دفتر الأستاذ العام'!$E$2:$E$313,'دفتر الأستاذ العام'!$D$2:$D$313,"تأمين",'دفتر الأستاذ العام'!$B$2:$B$313,1)</f>
        <v/>
      </c>
      <c r="D25" s="33">
        <f>SUMIFS('دفتر الأستاذ العام'!$E$2:$E$313,'دفتر الأستاذ العام'!$D$2:$D$313,"تأمين",'دفتر الأستاذ العام'!$B$2:$B$313,2)</f>
        <v/>
      </c>
      <c r="E25" s="33">
        <f>SUMIFS('دفتر الأستاذ العام'!$E$2:$E$313,'دفتر الأستاذ العام'!$D$2:$D$313,"تأمين",'دفتر الأستاذ العام'!$B$2:$B$313,3)</f>
        <v/>
      </c>
      <c r="F25" s="33">
        <f>SUMIFS('دفتر الأستاذ العام'!$E$2:$E$313,'دفتر الأستاذ العام'!$D$2:$D$313,"تأمين",'دفتر الأستاذ العام'!$B$2:$B$313,4)</f>
        <v/>
      </c>
      <c r="G25" s="33">
        <f>SUMIFS('دفتر الأستاذ العام'!$E$2:$E$313,'دفتر الأستاذ العام'!$D$2:$D$313,"تأمين",'دفتر الأستاذ العام'!$B$2:$B$313,5)</f>
        <v/>
      </c>
      <c r="H25" s="33">
        <f>SUMIFS('دفتر الأستاذ العام'!$E$2:$E$313,'دفتر الأستاذ العام'!$D$2:$D$313,"تأمين",'دفتر الأستاذ العام'!$B$2:$B$313,6)</f>
        <v/>
      </c>
      <c r="I25" s="33">
        <f>SUMIFS('دفتر الأستاذ العام'!$E$2:$E$313,'دفتر الأستاذ العام'!$D$2:$D$313,"تأمين",'دفتر الأستاذ العام'!$B$2:$B$313,7)</f>
        <v/>
      </c>
      <c r="J25" s="33">
        <f>SUMIFS('دفتر الأستاذ العام'!$E$2:$E$313,'دفتر الأستاذ العام'!$D$2:$D$313,"تأمين",'دفتر الأستاذ العام'!$B$2:$B$313,8)</f>
        <v/>
      </c>
      <c r="K25" s="33">
        <f>SUMIFS('دفتر الأستاذ العام'!$E$2:$E$313,'دفتر الأستاذ العام'!$D$2:$D$313,"تأمين",'دفتر الأستاذ العام'!$B$2:$B$313,9)</f>
        <v/>
      </c>
      <c r="L25" s="33">
        <f>SUMIFS('دفتر الأستاذ العام'!$E$2:$E$313,'دفتر الأستاذ العام'!$D$2:$D$313,"تأمين",'دفتر الأستاذ العام'!$B$2:$B$313,10)</f>
        <v/>
      </c>
      <c r="M25" s="33">
        <f>SUMIFS('دفتر الأستاذ العام'!$E$2:$E$313,'دفتر الأستاذ العام'!$D$2:$D$313,"تأمين",'دفتر الأستاذ العام'!$B$2:$B$313,11)</f>
        <v/>
      </c>
      <c r="N25" s="33">
        <f>SUMIFS('دفتر الأستاذ العام'!$E$2:$E$313,'دفتر الأستاذ العام'!$D$2:$D$313,"تأمين",'دفتر الأستاذ العام'!$B$2:$B$313,12)</f>
        <v/>
      </c>
      <c r="O25" s="34">
        <f>SUM(C25:N25)</f>
        <v/>
      </c>
    </row>
    <row r="26" ht="15" customHeight="1" s="24">
      <c r="B26" s="32" t="inlineStr">
        <is>
          <t>أتعاب مهنية</t>
        </is>
      </c>
      <c r="C26" s="33">
        <f>SUMIFS('دفتر الأستاذ العام'!$E$2:$E$313,'دفتر الأستاذ العام'!$D$2:$D$313,"أتعاب مهنية",'دفتر الأستاذ العام'!$B$2:$B$313,1)</f>
        <v/>
      </c>
      <c r="D26" s="33">
        <f>SUMIFS('دفتر الأستاذ العام'!$E$2:$E$313,'دفتر الأستاذ العام'!$D$2:$D$313,"أتعاب مهنية",'دفتر الأستاذ العام'!$B$2:$B$313,2)</f>
        <v/>
      </c>
      <c r="E26" s="33">
        <f>SUMIFS('دفتر الأستاذ العام'!$E$2:$E$313,'دفتر الأستاذ العام'!$D$2:$D$313,"أتعاب مهنية",'دفتر الأستاذ العام'!$B$2:$B$313,3)</f>
        <v/>
      </c>
      <c r="F26" s="33">
        <f>SUMIFS('دفتر الأستاذ العام'!$E$2:$E$313,'دفتر الأستاذ العام'!$D$2:$D$313,"أتعاب مهنية",'دفتر الأستاذ العام'!$B$2:$B$313,4)</f>
        <v/>
      </c>
      <c r="G26" s="33">
        <f>SUMIFS('دفتر الأستاذ العام'!$E$2:$E$313,'دفتر الأستاذ العام'!$D$2:$D$313,"أتعاب مهنية",'دفتر الأستاذ العام'!$B$2:$B$313,5)</f>
        <v/>
      </c>
      <c r="H26" s="33">
        <f>SUMIFS('دفتر الأستاذ العام'!$E$2:$E$313,'دفتر الأستاذ العام'!$D$2:$D$313,"أتعاب مهنية",'دفتر الأستاذ العام'!$B$2:$B$313,6)</f>
        <v/>
      </c>
      <c r="I26" s="33">
        <f>SUMIFS('دفتر الأستاذ العام'!$E$2:$E$313,'دفتر الأستاذ العام'!$D$2:$D$313,"أتعاب مهنية",'دفتر الأستاذ العام'!$B$2:$B$313,7)</f>
        <v/>
      </c>
      <c r="J26" s="33">
        <f>SUMIFS('دفتر الأستاذ العام'!$E$2:$E$313,'دفتر الأستاذ العام'!$D$2:$D$313,"أتعاب مهنية",'دفتر الأستاذ العام'!$B$2:$B$313,8)</f>
        <v/>
      </c>
      <c r="K26" s="33">
        <f>SUMIFS('دفتر الأستاذ العام'!$E$2:$E$313,'دفتر الأستاذ العام'!$D$2:$D$313,"أتعاب مهنية",'دفتر الأستاذ العام'!$B$2:$B$313,9)</f>
        <v/>
      </c>
      <c r="L26" s="33">
        <f>SUMIFS('دفتر الأستاذ العام'!$E$2:$E$313,'دفتر الأستاذ العام'!$D$2:$D$313,"أتعاب مهنية",'دفتر الأستاذ العام'!$B$2:$B$313,10)</f>
        <v/>
      </c>
      <c r="M26" s="33">
        <f>SUMIFS('دفتر الأستاذ العام'!$E$2:$E$313,'دفتر الأستاذ العام'!$D$2:$D$313,"أتعاب مهنية",'دفتر الأستاذ العام'!$B$2:$B$313,11)</f>
        <v/>
      </c>
      <c r="N26" s="33">
        <f>SUMIFS('دفتر الأستاذ العام'!$E$2:$E$313,'دفتر الأستاذ العام'!$D$2:$D$313,"أتعاب مهنية",'دفتر الأستاذ العام'!$B$2:$B$313,12)</f>
        <v/>
      </c>
      <c r="O26" s="34">
        <f>SUM(C26:N26)</f>
        <v/>
      </c>
    </row>
    <row r="27" ht="15" customHeight="1" s="24">
      <c r="B27" s="32" t="inlineStr">
        <is>
          <t>إهلاك</t>
        </is>
      </c>
      <c r="C27" s="33">
        <f>SUMIFS('دفتر الأستاذ العام'!$E$2:$E$313,'دفتر الأستاذ العام'!$D$2:$D$313,"إهلاك",'دفتر الأستاذ العام'!$B$2:$B$313,1)</f>
        <v/>
      </c>
      <c r="D27" s="33">
        <f>SUMIFS('دفتر الأستاذ العام'!$E$2:$E$313,'دفتر الأستاذ العام'!$D$2:$D$313,"إهلاك",'دفتر الأستاذ العام'!$B$2:$B$313,2)</f>
        <v/>
      </c>
      <c r="E27" s="33">
        <f>SUMIFS('دفتر الأستاذ العام'!$E$2:$E$313,'دفتر الأستاذ العام'!$D$2:$D$313,"إهلاك",'دفتر الأستاذ العام'!$B$2:$B$313,3)</f>
        <v/>
      </c>
      <c r="F27" s="33">
        <f>SUMIFS('دفتر الأستاذ العام'!$E$2:$E$313,'دفتر الأستاذ العام'!$D$2:$D$313,"إهلاك",'دفتر الأستاذ العام'!$B$2:$B$313,4)</f>
        <v/>
      </c>
      <c r="G27" s="33">
        <f>SUMIFS('دفتر الأستاذ العام'!$E$2:$E$313,'دفتر الأستاذ العام'!$D$2:$D$313,"إهلاك",'دفتر الأستاذ العام'!$B$2:$B$313,5)</f>
        <v/>
      </c>
      <c r="H27" s="33">
        <f>SUMIFS('دفتر الأستاذ العام'!$E$2:$E$313,'دفتر الأستاذ العام'!$D$2:$D$313,"إهلاك",'دفتر الأستاذ العام'!$B$2:$B$313,6)</f>
        <v/>
      </c>
      <c r="I27" s="33">
        <f>SUMIFS('دفتر الأستاذ العام'!$E$2:$E$313,'دفتر الأستاذ العام'!$D$2:$D$313,"إهلاك",'دفتر الأستاذ العام'!$B$2:$B$313,7)</f>
        <v/>
      </c>
      <c r="J27" s="33">
        <f>SUMIFS('دفتر الأستاذ العام'!$E$2:$E$313,'دفتر الأستاذ العام'!$D$2:$D$313,"إهلاك",'دفتر الأستاذ العام'!$B$2:$B$313,8)</f>
        <v/>
      </c>
      <c r="K27" s="33">
        <f>SUMIFS('دفتر الأستاذ العام'!$E$2:$E$313,'دفتر الأستاذ العام'!$D$2:$D$313,"إهلاك",'دفتر الأستاذ العام'!$B$2:$B$313,9)</f>
        <v/>
      </c>
      <c r="L27" s="33">
        <f>SUMIFS('دفتر الأستاذ العام'!$E$2:$E$313,'دفتر الأستاذ العام'!$D$2:$D$313,"إهلاك",'دفتر الأستاذ العام'!$B$2:$B$313,10)</f>
        <v/>
      </c>
      <c r="M27" s="33">
        <f>SUMIFS('دفتر الأستاذ العام'!$E$2:$E$313,'دفتر الأستاذ العام'!$D$2:$D$313,"إهلاك",'دفتر الأستاذ العام'!$B$2:$B$313,11)</f>
        <v/>
      </c>
      <c r="N27" s="33">
        <f>SUMIFS('دفتر الأستاذ العام'!$E$2:$E$313,'دفتر الأستاذ العام'!$D$2:$D$313,"إهلاك",'دفتر الأستاذ العام'!$B$2:$B$313,12)</f>
        <v/>
      </c>
      <c r="O27" s="34">
        <f>SUM(C27:N27)</f>
        <v/>
      </c>
    </row>
    <row r="28" ht="15" customHeight="1" s="24">
      <c r="B28" s="32" t="inlineStr">
        <is>
          <t>مصروفات متنوعة / غير مصنَّف</t>
        </is>
      </c>
      <c r="C28" s="33">
        <f>SUMIFS('دفتر الأستاذ العام'!$E$2:$E$313,'دفتر الأستاذ العام'!$D$2:$D$313,"مصروفات متنوعة / غير مصنَّف",'دفتر الأستاذ العام'!$B$2:$B$313,1)</f>
        <v/>
      </c>
      <c r="D28" s="33">
        <f>SUMIFS('دفتر الأستاذ العام'!$E$2:$E$313,'دفتر الأستاذ العام'!$D$2:$D$313,"مصروفات متنوعة / غير مصنَّف",'دفتر الأستاذ العام'!$B$2:$B$313,2)</f>
        <v/>
      </c>
      <c r="E28" s="33">
        <f>SUMIFS('دفتر الأستاذ العام'!$E$2:$E$313,'دفتر الأستاذ العام'!$D$2:$D$313,"مصروفات متنوعة / غير مصنَّف",'دفتر الأستاذ العام'!$B$2:$B$313,3)</f>
        <v/>
      </c>
      <c r="F28" s="33">
        <f>SUMIFS('دفتر الأستاذ العام'!$E$2:$E$313,'دفتر الأستاذ العام'!$D$2:$D$313,"مصروفات متنوعة / غير مصنَّف",'دفتر الأستاذ العام'!$B$2:$B$313,4)</f>
        <v/>
      </c>
      <c r="G28" s="33">
        <f>SUMIFS('دفتر الأستاذ العام'!$E$2:$E$313,'دفتر الأستاذ العام'!$D$2:$D$313,"مصروفات متنوعة / غير مصنَّف",'دفتر الأستاذ العام'!$B$2:$B$313,5)</f>
        <v/>
      </c>
      <c r="H28" s="33">
        <f>SUMIFS('دفتر الأستاذ العام'!$E$2:$E$313,'دفتر الأستاذ العام'!$D$2:$D$313,"مصروفات متنوعة / غير مصنَّف",'دفتر الأستاذ العام'!$B$2:$B$313,6)</f>
        <v/>
      </c>
      <c r="I28" s="33">
        <f>SUMIFS('دفتر الأستاذ العام'!$E$2:$E$313,'دفتر الأستاذ العام'!$D$2:$D$313,"مصروفات متنوعة / غير مصنَّف",'دفتر الأستاذ العام'!$B$2:$B$313,7)</f>
        <v/>
      </c>
      <c r="J28" s="33">
        <f>SUMIFS('دفتر الأستاذ العام'!$E$2:$E$313,'دفتر الأستاذ العام'!$D$2:$D$313,"مصروفات متنوعة / غير مصنَّف",'دفتر الأستاذ العام'!$B$2:$B$313,8)</f>
        <v/>
      </c>
      <c r="K28" s="33">
        <f>SUMIFS('دفتر الأستاذ العام'!$E$2:$E$313,'دفتر الأستاذ العام'!$D$2:$D$313,"مصروفات متنوعة / غير مصنَّف",'دفتر الأستاذ العام'!$B$2:$B$313,9)</f>
        <v/>
      </c>
      <c r="L28" s="33">
        <f>SUMIFS('دفتر الأستاذ العام'!$E$2:$E$313,'دفتر الأستاذ العام'!$D$2:$D$313,"مصروفات متنوعة / غير مصنَّف",'دفتر الأستاذ العام'!$B$2:$B$313,10)</f>
        <v/>
      </c>
      <c r="M28" s="33">
        <f>SUMIFS('دفتر الأستاذ العام'!$E$2:$E$313,'دفتر الأستاذ العام'!$D$2:$D$313,"مصروفات متنوعة / غير مصنَّف",'دفتر الأستاذ العام'!$B$2:$B$313,11)</f>
        <v/>
      </c>
      <c r="N28" s="33">
        <f>SUMIFS('دفتر الأستاذ العام'!$E$2:$E$313,'دفتر الأستاذ العام'!$D$2:$D$313,"مصروفات متنوعة / غير مصنَّف",'دفتر الأستاذ العام'!$B$2:$B$313,12)</f>
        <v/>
      </c>
      <c r="O28" s="34">
        <f>SUM(C28:N28)</f>
        <v/>
      </c>
    </row>
    <row r="29" ht="15" customHeight="1" s="24">
      <c r="B29" s="35" t="inlineStr">
        <is>
          <t>إجمالي المصروفات التشغيلية (محسوب)</t>
        </is>
      </c>
      <c r="C29" s="36">
        <f>C20+C21+C22+C23+C24+C25+C26+C27+C28</f>
        <v/>
      </c>
      <c r="D29" s="36">
        <f>D20+D21+D22+D23+D24+D25+D26+D27+D28</f>
        <v/>
      </c>
      <c r="E29" s="36">
        <f>E20+E21+E22+E23+E24+E25+E26+E27+E28</f>
        <v/>
      </c>
      <c r="F29" s="36">
        <f>F20+F21+F22+F23+F24+F25+F26+F27+F28</f>
        <v/>
      </c>
      <c r="G29" s="36">
        <f>G20+G21+G22+G23+G24+G25+G26+G27+G28</f>
        <v/>
      </c>
      <c r="H29" s="36">
        <f>H20+H21+H22+H23+H24+H25+H26+H27+H28</f>
        <v/>
      </c>
      <c r="I29" s="36">
        <f>I20+I21+I22+I23+I24+I25+I26+I27+I28</f>
        <v/>
      </c>
      <c r="J29" s="36">
        <f>J20+J21+J22+J23+J24+J25+J26+J27+J28</f>
        <v/>
      </c>
      <c r="K29" s="36">
        <f>K20+K21+K22+K23+K24+K25+K26+K27+K28</f>
        <v/>
      </c>
      <c r="L29" s="36">
        <f>L20+L21+L22+L23+L24+L25+L26+L27+L28</f>
        <v/>
      </c>
      <c r="M29" s="36">
        <f>M20+M21+M22+M23+M24+M25+M26+M27+M28</f>
        <v/>
      </c>
      <c r="N29" s="36">
        <f>N20+N21+N22+N23+N24+N25+N26+N27+N28</f>
        <v/>
      </c>
      <c r="O29" s="37">
        <f>SUM(C29:N29)</f>
        <v/>
      </c>
    </row>
    <row r="30" ht="15" customHeight="1" s="24">
      <c r="B30" s="32" t="inlineStr">
        <is>
          <t>إجمالي المصروفات التشغيلية (مُصرَّح به)</t>
        </is>
      </c>
      <c r="C30" s="33" t="n">
        <v>174750</v>
      </c>
      <c r="D30" s="33" t="n">
        <v>176500</v>
      </c>
      <c r="E30" s="33" t="n">
        <v>178250</v>
      </c>
      <c r="F30" s="33" t="n">
        <v>191000</v>
      </c>
      <c r="G30" s="33" t="n">
        <v>181750</v>
      </c>
      <c r="H30" s="33" t="n">
        <v>183500</v>
      </c>
      <c r="I30" s="33" t="n">
        <v>416750</v>
      </c>
      <c r="J30" s="33" t="n">
        <v>187000</v>
      </c>
      <c r="K30" s="33" t="n">
        <v>190250</v>
      </c>
      <c r="L30" s="33" t="n">
        <v>190500</v>
      </c>
      <c r="M30" s="33" t="n">
        <v>192250</v>
      </c>
      <c r="N30" s="33" t="n">
        <v>194000</v>
      </c>
      <c r="O30" s="34">
        <f>SUM(C30:N30)</f>
        <v/>
      </c>
    </row>
    <row r="32" ht="15" customHeight="1" s="24">
      <c r="B32" s="38" t="inlineStr">
        <is>
          <t>الربح التشغيلي</t>
        </is>
      </c>
      <c r="C32" s="39">
        <f>C17-C29</f>
        <v/>
      </c>
      <c r="D32" s="39">
        <f>D17-D29</f>
        <v/>
      </c>
      <c r="E32" s="39">
        <f>E17-E29</f>
        <v/>
      </c>
      <c r="F32" s="39">
        <f>F17-F29</f>
        <v/>
      </c>
      <c r="G32" s="39">
        <f>G17-G29</f>
        <v/>
      </c>
      <c r="H32" s="39">
        <f>H17-H29</f>
        <v/>
      </c>
      <c r="I32" s="39">
        <f>I17-I29</f>
        <v/>
      </c>
      <c r="J32" s="39">
        <f>J17-J29</f>
        <v/>
      </c>
      <c r="K32" s="39">
        <f>K17-K29</f>
        <v/>
      </c>
      <c r="L32" s="39">
        <f>L17-L29</f>
        <v/>
      </c>
      <c r="M32" s="39">
        <f>M17-M29</f>
        <v/>
      </c>
      <c r="N32" s="39">
        <f>N17-N29</f>
        <v/>
      </c>
      <c r="O32" s="34">
        <f>SUM(C32:N32)</f>
        <v/>
      </c>
    </row>
    <row r="33" ht="15" customHeight="1" s="24">
      <c r="B33" s="38" t="inlineStr">
        <is>
          <t>صافي الربح / الخسارة</t>
        </is>
      </c>
      <c r="C33" s="39">
        <f>C17-C29</f>
        <v/>
      </c>
      <c r="D33" s="39">
        <f>D17-D29</f>
        <v/>
      </c>
      <c r="E33" s="39">
        <f>E17-E29</f>
        <v/>
      </c>
      <c r="F33" s="39">
        <f>F17-F29</f>
        <v/>
      </c>
      <c r="G33" s="39">
        <f>G17-G29</f>
        <v/>
      </c>
      <c r="H33" s="39">
        <f>H17-H29</f>
        <v/>
      </c>
      <c r="I33" s="39">
        <f>I17-I29</f>
        <v/>
      </c>
      <c r="J33" s="39">
        <f>J17-J29</f>
        <v/>
      </c>
      <c r="K33" s="39">
        <f>K17-K29</f>
        <v/>
      </c>
      <c r="L33" s="39">
        <f>L17-L29</f>
        <v/>
      </c>
      <c r="M33" s="39">
        <f>M17-M29</f>
        <v/>
      </c>
      <c r="N33" s="39">
        <f>N17-N29</f>
        <v/>
      </c>
      <c r="O33" s="34">
        <f>SUM(C33:N33)</f>
        <v/>
      </c>
    </row>
  </sheetData>
  <mergeCells count="1">
    <mergeCell ref="B1: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D28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23" min="2" max="2"/>
    <col width="16" customWidth="1" style="23" min="3" max="3"/>
  </cols>
  <sheetData>
    <row r="1" ht="15" customHeight="1" s="24">
      <c r="B1" s="28" t="inlineStr">
        <is>
          <t>شركة النور للصناعات المتكاملة — الميزانية العمومية (كما في 31 ديسمبر 2026) — ج.م</t>
        </is>
      </c>
    </row>
    <row r="3" ht="15" customHeight="1" s="24">
      <c r="B3" s="30" t="inlineStr">
        <is>
          <t>بيانات مولَّدة بالكامل بالذكاء الاصطناعي (Claude) لأغراض اختبار برومبت تحليل مالي — ليست بيانات شركة حقيقية.</t>
        </is>
      </c>
      <c r="C3" s="31" t="n"/>
    </row>
    <row r="4" ht="15" customHeight="1" s="24">
      <c r="B4" s="32" t="inlineStr">
        <is>
          <t>النقدية وما في حكمها</t>
        </is>
      </c>
      <c r="C4" s="33" t="n">
        <v>500000</v>
      </c>
    </row>
    <row r="5" ht="15" customHeight="1" s="24">
      <c r="B5" s="32" t="inlineStr">
        <is>
          <t>ذمم مدينة (عملاء)</t>
        </is>
      </c>
      <c r="C5" s="33" t="n">
        <v>1000200</v>
      </c>
    </row>
    <row r="6" ht="15" customHeight="1" s="24">
      <c r="B6" s="32" t="inlineStr">
        <is>
          <t>المخزون (بضاعة تامة + تحت التشغيل)</t>
        </is>
      </c>
      <c r="C6" s="33" t="n">
        <v>1600000</v>
      </c>
    </row>
    <row r="7" ht="15" customHeight="1" s="24">
      <c r="B7" s="40" t="inlineStr">
        <is>
          <t>إجمالي الأصول المتداولة</t>
        </is>
      </c>
      <c r="C7" s="36">
        <f>C4+C5+C6</f>
        <v/>
      </c>
    </row>
    <row r="9" ht="15" customHeight="1" s="24">
      <c r="B9" s="32" t="inlineStr">
        <is>
          <t>الآلات والمعدات (بالتكلفة)</t>
        </is>
      </c>
      <c r="C9" s="33" t="n">
        <v>2600000</v>
      </c>
    </row>
    <row r="10" ht="15" customHeight="1" s="24">
      <c r="B10" s="32" t="inlineStr">
        <is>
          <t>يُخصم: مجمع الإهلاك</t>
        </is>
      </c>
      <c r="C10" s="41">
        <f>-'قائمة الدخل'!$O$27</f>
        <v/>
      </c>
    </row>
    <row r="11" ht="15" customHeight="1" s="24">
      <c r="B11" s="42" t="inlineStr">
        <is>
          <t>صافي الأصول الثابتة</t>
        </is>
      </c>
      <c r="C11" s="39">
        <f>C9+C10</f>
        <v/>
      </c>
    </row>
    <row r="13" ht="15" customHeight="1" s="24">
      <c r="B13" s="40" t="inlineStr">
        <is>
          <t>إجمالي الأصول (محسوب)</t>
        </is>
      </c>
      <c r="C13" s="36">
        <f>C7+C11</f>
        <v/>
      </c>
    </row>
    <row r="14" ht="15" customHeight="1" s="24">
      <c r="B14" s="43" t="inlineStr">
        <is>
          <t>إجمالي الأصول (كما ورد في ميزان المراجعة)</t>
        </is>
      </c>
      <c r="C14" s="41" t="n">
        <v>5558500</v>
      </c>
    </row>
    <row r="16" ht="15" customHeight="1" s="24">
      <c r="B16" s="30" t="inlineStr">
        <is>
          <t>الخصوم وحقوق الملكية (Liabilities &amp; Equity)</t>
        </is>
      </c>
      <c r="C16" s="31" t="n"/>
    </row>
    <row r="17" ht="15" customHeight="1" s="24">
      <c r="B17" s="32" t="inlineStr">
        <is>
          <t>ذمم دائنة (موردون)</t>
        </is>
      </c>
      <c r="C17" s="33" t="n">
        <v>600000</v>
      </c>
    </row>
    <row r="18" ht="15" customHeight="1" s="24">
      <c r="B18" s="32" t="inlineStr">
        <is>
          <t>قرض طويل الأجل</t>
        </is>
      </c>
      <c r="C18" s="33" t="n">
        <v>1200000</v>
      </c>
    </row>
    <row r="19" ht="15" customHeight="1" s="24">
      <c r="B19" s="42" t="inlineStr">
        <is>
          <t>إجمالي الخصوم</t>
        </is>
      </c>
      <c r="C19" s="39">
        <f>C17+C18</f>
        <v/>
      </c>
    </row>
    <row r="21" ht="15" customHeight="1" s="24">
      <c r="B21" s="32" t="inlineStr">
        <is>
          <t>رأس المال</t>
        </is>
      </c>
      <c r="C21" s="33" t="n">
        <v>1500000</v>
      </c>
    </row>
    <row r="22" ht="15" customHeight="1" s="24">
      <c r="B22" s="32" t="inlineStr">
        <is>
          <t>الأرباح المحتجزة أول المدة (1 يناير 2026)</t>
        </is>
      </c>
      <c r="C22" s="33" t="n">
        <v>270000</v>
      </c>
    </row>
    <row r="23" ht="15" customHeight="1" s="24">
      <c r="B23" s="43" t="inlineStr">
        <is>
          <t>صافي ربح العام (من قائمة الدخل)</t>
        </is>
      </c>
      <c r="C23" s="44">
        <f>'قائمة الدخل'!$O$33</f>
        <v/>
      </c>
    </row>
    <row r="24" ht="15" customHeight="1" s="24">
      <c r="B24" s="42" t="inlineStr">
        <is>
          <t>الأرباح المحتجزة آخر المدة (محسوبة)</t>
        </is>
      </c>
      <c r="C24" s="39">
        <f>C22+C23</f>
        <v/>
      </c>
    </row>
    <row r="25" ht="15" customHeight="1" s="24">
      <c r="B25" s="43" t="inlineStr">
        <is>
          <t>الأرباح المحتجزة آخر المدة (كما في ميزان المراجعة)</t>
        </is>
      </c>
      <c r="C25" s="41" t="n">
        <v>2251700</v>
      </c>
    </row>
    <row r="27" ht="15" customHeight="1" s="24">
      <c r="B27" s="40" t="inlineStr">
        <is>
          <t>إجمالي حقوق الملكية (محسوب)</t>
        </is>
      </c>
      <c r="C27" s="36">
        <f>C21+C24</f>
        <v/>
      </c>
    </row>
    <row r="28" ht="15" customHeight="1" s="24">
      <c r="B28" s="40" t="inlineStr">
        <is>
          <t>إجمالي الخصوم وحقوق الملكية</t>
        </is>
      </c>
      <c r="C28" s="36">
        <f>C19+C27</f>
        <v/>
      </c>
    </row>
  </sheetData>
  <mergeCells count="1">
    <mergeCell ref="B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2026-07-24T17:31:10Z</dcterms:created>
  <dcterms:modified xmlns:dcterms="http://purl.org/dc/terms/" xmlns:xsi="http://www.w3.org/2001/XMLSchema-instance" xsi:type="dcterms:W3CDTF">2026-07-27T00:41:26Z</dcterms:modified>
  <cp:revision>0</cp:revision>
</cp:coreProperties>
</file>